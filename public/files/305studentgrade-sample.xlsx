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026antigravity\public\files\"/>
    </mc:Choice>
  </mc:AlternateContent>
  <xr:revisionPtr revIDLastSave="0" documentId="8_{2ADA8E01-42BF-47C8-906F-1F43DADE7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國語" sheetId="1" r:id="rId1"/>
    <sheet name="工作表1" sheetId="3" r:id="rId2"/>
    <sheet name="數學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lt3dMb1MgWAH6A5S+x2PSabWmG00b108dqPqEWQE5o="/>
    </ext>
  </extLst>
</workbook>
</file>

<file path=xl/calcChain.xml><?xml version="1.0" encoding="utf-8"?>
<calcChain xmlns="http://schemas.openxmlformats.org/spreadsheetml/2006/main">
  <c r="AW29" i="1" l="1"/>
  <c r="AV3" i="1"/>
  <c r="AX3" i="1" s="1"/>
  <c r="AV4" i="1"/>
  <c r="AX4" i="1" s="1"/>
  <c r="AV5" i="1"/>
  <c r="AX5" i="1" s="1"/>
  <c r="AV6" i="1"/>
  <c r="AX6" i="1" s="1"/>
  <c r="AV7" i="1"/>
  <c r="AX7" i="1" s="1"/>
  <c r="AV8" i="1"/>
  <c r="AX8" i="1" s="1"/>
  <c r="AV9" i="1"/>
  <c r="AX9" i="1" s="1"/>
  <c r="AV10" i="1"/>
  <c r="AX10" i="1" s="1"/>
  <c r="AV11" i="1"/>
  <c r="AX11" i="1" s="1"/>
  <c r="AV12" i="1"/>
  <c r="AX12" i="1" s="1"/>
  <c r="AV13" i="1"/>
  <c r="AX13" i="1" s="1"/>
  <c r="AV14" i="1"/>
  <c r="AX14" i="1" s="1"/>
  <c r="AV15" i="1"/>
  <c r="AX15" i="1" s="1"/>
  <c r="AV16" i="1"/>
  <c r="AX16" i="1" s="1"/>
  <c r="AV17" i="1"/>
  <c r="AX17" i="1" s="1"/>
  <c r="AV18" i="1"/>
  <c r="AX18" i="1" s="1"/>
  <c r="AV19" i="1"/>
  <c r="AX19" i="1" s="1"/>
  <c r="AV20" i="1"/>
  <c r="AX20" i="1" s="1"/>
  <c r="AV21" i="1"/>
  <c r="AX21" i="1" s="1"/>
  <c r="AV22" i="1"/>
  <c r="AX22" i="1" s="1"/>
  <c r="AV23" i="1"/>
  <c r="AX23" i="1" s="1"/>
  <c r="AV24" i="1"/>
  <c r="AX24" i="1" s="1"/>
  <c r="AV25" i="1"/>
  <c r="AX25" i="1" s="1"/>
  <c r="AV26" i="1"/>
  <c r="AX26" i="1" s="1"/>
  <c r="AV27" i="1"/>
  <c r="AX27" i="1" s="1"/>
  <c r="AV28" i="1"/>
  <c r="AX28" i="1" s="1"/>
  <c r="AV2" i="1"/>
  <c r="AX2" i="1" s="1"/>
  <c r="U30" i="2"/>
  <c r="T3" i="2"/>
  <c r="V3" i="2" s="1"/>
  <c r="T4" i="2"/>
  <c r="V4" i="2" s="1"/>
  <c r="T5" i="2"/>
  <c r="V5" i="2" s="1"/>
  <c r="T6" i="2"/>
  <c r="V6" i="2" s="1"/>
  <c r="T7" i="2"/>
  <c r="V7" i="2" s="1"/>
  <c r="T8" i="2"/>
  <c r="V8" i="2" s="1"/>
  <c r="T9" i="2"/>
  <c r="V9" i="2" s="1"/>
  <c r="T10" i="2"/>
  <c r="V10" i="2" s="1"/>
  <c r="T11" i="2"/>
  <c r="V11" i="2" s="1"/>
  <c r="T12" i="2"/>
  <c r="V12" i="2" s="1"/>
  <c r="T13" i="2"/>
  <c r="V13" i="2" s="1"/>
  <c r="T14" i="2"/>
  <c r="V14" i="2" s="1"/>
  <c r="T15" i="2"/>
  <c r="V15" i="2" s="1"/>
  <c r="T16" i="2"/>
  <c r="V16" i="2" s="1"/>
  <c r="T17" i="2"/>
  <c r="V17" i="2" s="1"/>
  <c r="T18" i="2"/>
  <c r="V18" i="2" s="1"/>
  <c r="T19" i="2"/>
  <c r="V19" i="2" s="1"/>
  <c r="T20" i="2"/>
  <c r="V20" i="2" s="1"/>
  <c r="T21" i="2"/>
  <c r="V21" i="2" s="1"/>
  <c r="T22" i="2"/>
  <c r="V22" i="2" s="1"/>
  <c r="T23" i="2"/>
  <c r="V23" i="2" s="1"/>
  <c r="T24" i="2"/>
  <c r="V24" i="2" s="1"/>
  <c r="T25" i="2"/>
  <c r="V25" i="2" s="1"/>
  <c r="T26" i="2"/>
  <c r="V26" i="2" s="1"/>
  <c r="T27" i="2"/>
  <c r="V27" i="2" s="1"/>
  <c r="T28" i="2"/>
  <c r="V28" i="2" s="1"/>
  <c r="T29" i="2"/>
  <c r="V29" i="2" s="1"/>
  <c r="T2" i="2"/>
  <c r="V2" i="2" s="1"/>
</calcChain>
</file>

<file path=xl/sharedStrings.xml><?xml version="1.0" encoding="utf-8"?>
<sst xmlns="http://schemas.openxmlformats.org/spreadsheetml/2006/main" count="92" uniqueCount="79">
  <si>
    <t>座號</t>
  </si>
  <si>
    <r>
      <rPr>
        <sz val="12"/>
        <color theme="1"/>
        <rFont val="Microsoft JhengHei"/>
        <family val="2"/>
        <charset val="136"/>
      </rPr>
      <t>習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</si>
  <si>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</si>
  <si>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6</t>
    </r>
    <phoneticPr fontId="3" type="noConversion"/>
  </si>
  <si>
    <r>
      <rPr>
        <sz val="12"/>
        <color theme="1"/>
        <rFont val="Microsoft JhengHei"/>
        <family val="2"/>
        <charset val="136"/>
      </rPr>
      <t>卷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</si>
  <si>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卷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</si>
  <si>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卷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</si>
  <si>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t>加分</t>
    <phoneticPr fontId="3" type="noConversion"/>
  </si>
  <si>
    <t>平時</t>
    <phoneticPr fontId="3" type="noConversion"/>
  </si>
  <si>
    <t>月考</t>
    <phoneticPr fontId="3" type="noConversion"/>
  </si>
  <si>
    <t>期中</t>
    <phoneticPr fontId="3" type="noConversion"/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</si>
  <si>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</si>
  <si>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習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</si>
  <si>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</si>
  <si>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習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</si>
  <si>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</si>
  <si>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習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</si>
  <si>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</si>
  <si>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7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</si>
  <si>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8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</si>
  <si>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習複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</si>
  <si>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練</t>
    </r>
    <r>
      <rPr>
        <sz val="12"/>
        <color theme="1"/>
        <rFont val="Calibri"/>
        <family val="2"/>
      </rPr>
      <t>9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</si>
  <si>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</si>
  <si>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1</t>
    </r>
    <phoneticPr fontId="3" type="noConversion"/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</si>
  <si>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</si>
  <si>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1</t>
    </r>
    <phoneticPr fontId="3" type="noConversion"/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</si>
  <si>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</si>
  <si>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</si>
  <si>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1</t>
    </r>
    <phoneticPr fontId="3" type="noConversion"/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</si>
  <si>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</si>
  <si>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</si>
  <si>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</si>
  <si>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</si>
  <si>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</si>
  <si>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</si>
  <si>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</si>
  <si>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</si>
  <si>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</si>
  <si>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</si>
  <si>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</si>
  <si>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</si>
  <si>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</si>
  <si>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</si>
  <si>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</si>
  <si>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</si>
  <si>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</si>
  <si>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</si>
  <si>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</si>
  <si>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</si>
  <si>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</si>
  <si>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</si>
  <si>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</si>
  <si>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</si>
  <si>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</si>
  <si>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</si>
  <si>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</si>
  <si>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</si>
  <si>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心</t>
    </r>
    <r>
      <rPr>
        <sz val="12"/>
        <color theme="1"/>
        <rFont val="Calibri"/>
        <family val="2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</si>
  <si>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預</t>
    </r>
    <r>
      <rPr>
        <sz val="12"/>
        <color theme="1"/>
        <rFont val="Calibri"/>
        <family val="2"/>
        <charset val="136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</si>
  <si>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生</t>
    </r>
    <r>
      <rPr>
        <sz val="12"/>
        <color theme="1"/>
        <rFont val="Calibri"/>
        <family val="2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</si>
  <si>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詞</t>
    </r>
    <r>
      <rPr>
        <sz val="12"/>
        <color theme="1"/>
        <rFont val="Calibri"/>
        <family val="2"/>
        <charset val="136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</si>
  <si>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課</t>
    </r>
    <r>
      <rPr>
        <sz val="12"/>
        <color theme="1"/>
        <rFont val="Calibri"/>
        <family val="2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</si>
  <si>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習</t>
    </r>
    <r>
      <rPr>
        <sz val="12"/>
        <color theme="1"/>
        <rFont val="Calibri"/>
        <family val="2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</si>
  <si>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</rPr>
      <t>句</t>
    </r>
    <r>
      <rPr>
        <sz val="12"/>
        <color theme="1"/>
        <rFont val="Calibri"/>
        <family val="2"/>
      </rPr>
      <t>6</t>
    </r>
    <r>
      <rPr>
        <sz val="12"/>
        <color theme="1"/>
        <rFont val="Calibri"/>
        <family val="2"/>
        <charset val="136"/>
        <scheme val="minor"/>
      </rPr>
      <t/>
    </r>
  </si>
  <si>
    <r>
      <rPr>
        <sz val="12"/>
        <color theme="1"/>
        <rFont val="Microsoft JhengHei"/>
        <family val="2"/>
        <charset val="136"/>
      </rPr>
      <t>乙</t>
    </r>
    <r>
      <rPr>
        <sz val="12"/>
        <color theme="1"/>
        <rFont val="Calibri"/>
        <family val="2"/>
        <charset val="136"/>
      </rPr>
      <t>4-6</t>
    </r>
    <phoneticPr fontId="3" type="noConversion"/>
  </si>
  <si>
    <r>
      <rPr>
        <sz val="12"/>
        <color theme="1"/>
        <rFont val="Microsoft JhengHei"/>
        <family val="2"/>
      </rPr>
      <t>習整</t>
    </r>
    <r>
      <rPr>
        <sz val="12"/>
        <color theme="1"/>
        <rFont val="Calibri"/>
        <family val="2"/>
      </rPr>
      <t>2</t>
    </r>
    <phoneticPr fontId="3" type="noConversion"/>
  </si>
  <si>
    <r>
      <rPr>
        <sz val="12"/>
        <color theme="1"/>
        <rFont val="Microsoft JhengHei"/>
        <family val="2"/>
        <charset val="136"/>
      </rPr>
      <t>卷</t>
    </r>
    <r>
      <rPr>
        <sz val="12"/>
        <color theme="1"/>
        <rFont val="Calibri"/>
        <family val="2"/>
      </rPr>
      <t>1</t>
    </r>
    <r>
      <rPr>
        <sz val="12"/>
        <color theme="1"/>
        <rFont val="Calibri"/>
        <family val="2"/>
        <charset val="136"/>
      </rPr>
      <t>-6</t>
    </r>
    <phoneticPr fontId="3" type="noConversion"/>
  </si>
  <si>
    <t>/</t>
  </si>
  <si>
    <t>定期評量</t>
  </si>
  <si>
    <t>90分~99分</t>
  </si>
  <si>
    <t>80分~89分</t>
  </si>
  <si>
    <t>70分~79分</t>
  </si>
  <si>
    <t>60分~69分</t>
  </si>
  <si>
    <t>50分~59分</t>
  </si>
  <si>
    <t>40分~49分</t>
  </si>
  <si>
    <t>平均</t>
  </si>
  <si>
    <t>國語</t>
    <phoneticPr fontId="3" type="noConversion"/>
  </si>
  <si>
    <t>100分</t>
  </si>
  <si>
    <t>數學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</si>
</sst>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76" fontId="0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97"/>
  <sheetViews>
    <sheetView tabSelected="1" workbookViewId="0">
      <pane xSplit="1" topLeftCell="B1" activePane="topRight" state="frozen"/>
      <selection pane="topRight" activeCell="AY1" sqref="AY1:CL1048576"/>
    </sheetView>
  </sheetViews>
  <sheetFormatPr defaultColWidth="11.19921875" defaultRowHeight="15" customHeight="1"/>
  <cols>
    <col min="1" max="1" width="5.3984375" bestFit="1" customWidth="1"/>
    <col min="2" max="3" width="6.3984375" customWidth="1"/>
    <col min="4" max="5" width="4.3984375" customWidth="1"/>
    <col min="6" max="7" width="6.3984375" customWidth="1"/>
    <col min="8" max="9" width="4.3984375" customWidth="1"/>
    <col min="10" max="12" width="6.3984375" customWidth="1"/>
    <col min="13" max="14" width="4.3984375" customWidth="1"/>
    <col min="15" max="16" width="6.3984375" customWidth="1"/>
    <col min="17" max="18" width="4.3984375" customWidth="1"/>
    <col min="19" max="20" width="6.3984375" customWidth="1"/>
    <col min="21" max="22" width="4.3984375" customWidth="1"/>
    <col min="23" max="25" width="6.3984375" customWidth="1"/>
    <col min="26" max="26" width="4.3984375" customWidth="1"/>
    <col min="27" max="27" width="6" customWidth="1"/>
    <col min="28" max="28" width="6.3984375" customWidth="1"/>
    <col min="29" max="35" width="4.3984375" customWidth="1"/>
    <col min="36" max="37" width="6" customWidth="1"/>
    <col min="38" max="38" width="5.3984375" customWidth="1"/>
    <col min="39" max="40" width="7.69921875" customWidth="1"/>
    <col min="41" max="41" width="5.3984375" customWidth="1"/>
    <col min="42" max="50" width="11.19921875" customWidth="1"/>
  </cols>
  <sheetData>
    <row r="1" spans="1:50" ht="15.75" customHeight="1">
      <c r="A1" s="1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6" t="s">
        <v>26</v>
      </c>
      <c r="G1" s="6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6" t="s">
        <v>33</v>
      </c>
      <c r="N1" s="6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6" t="s">
        <v>40</v>
      </c>
      <c r="U1" s="6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6" t="s">
        <v>47</v>
      </c>
      <c r="AB1" s="6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6" t="s">
        <v>54</v>
      </c>
      <c r="AI1" s="6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6" t="s">
        <v>61</v>
      </c>
      <c r="AP1" s="2" t="s">
        <v>63</v>
      </c>
      <c r="AQ1" s="2" t="s">
        <v>64</v>
      </c>
      <c r="AR1" s="6" t="s">
        <v>62</v>
      </c>
      <c r="AS1" s="6" t="s">
        <v>65</v>
      </c>
      <c r="AT1" s="2" t="s">
        <v>66</v>
      </c>
      <c r="AU1" s="3" t="s">
        <v>7</v>
      </c>
      <c r="AV1" s="3" t="s">
        <v>8</v>
      </c>
      <c r="AW1" s="3" t="s">
        <v>9</v>
      </c>
      <c r="AX1" s="3" t="s">
        <v>10</v>
      </c>
    </row>
    <row r="2" spans="1:50" ht="15.75" customHeight="1">
      <c r="A2" s="1">
        <v>1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99</v>
      </c>
      <c r="K2" s="4">
        <v>100</v>
      </c>
      <c r="L2" s="4">
        <v>100</v>
      </c>
      <c r="M2" s="4">
        <v>100</v>
      </c>
      <c r="N2" s="4">
        <v>100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100</v>
      </c>
      <c r="W2" s="4">
        <v>100</v>
      </c>
      <c r="X2" s="4">
        <v>98</v>
      </c>
      <c r="Y2" s="4">
        <v>100</v>
      </c>
      <c r="Z2" s="4">
        <v>100</v>
      </c>
      <c r="AA2" s="4">
        <v>100</v>
      </c>
      <c r="AB2" s="4">
        <v>100</v>
      </c>
      <c r="AC2" s="4">
        <v>100</v>
      </c>
      <c r="AD2" s="4">
        <v>100</v>
      </c>
      <c r="AE2" s="4">
        <v>100</v>
      </c>
      <c r="AF2" s="4">
        <v>100</v>
      </c>
      <c r="AG2" s="4">
        <v>100</v>
      </c>
      <c r="AH2" s="4">
        <v>100</v>
      </c>
      <c r="AI2" s="4">
        <v>100</v>
      </c>
      <c r="AJ2" s="4">
        <v>100</v>
      </c>
      <c r="AK2" s="4">
        <v>100</v>
      </c>
      <c r="AL2" s="4">
        <v>100</v>
      </c>
      <c r="AM2" s="4">
        <v>100</v>
      </c>
      <c r="AN2" s="4">
        <v>100</v>
      </c>
      <c r="AO2" s="4">
        <v>100</v>
      </c>
      <c r="AP2" s="4">
        <v>100</v>
      </c>
      <c r="AQ2" s="4">
        <v>100</v>
      </c>
      <c r="AR2" s="4">
        <v>100</v>
      </c>
      <c r="AS2" s="4">
        <v>100</v>
      </c>
      <c r="AT2" s="4">
        <v>85</v>
      </c>
      <c r="AU2" s="4">
        <v>5</v>
      </c>
      <c r="AV2" s="5">
        <f>AVERAGE(B2:AS2)*0.6+AT2*0.3+((AU2-MIN($AU$2:$AU$28))/(MAX($AU$2:$AU$28)-MIN($AU$2:$AU$28))*10+90)*0.1</f>
        <v>94.736868686868689</v>
      </c>
      <c r="AW2" s="4">
        <v>97</v>
      </c>
      <c r="AX2" s="5">
        <f>AV2*0.6+AW2*0.4</f>
        <v>95.642121212121225</v>
      </c>
    </row>
    <row r="3" spans="1:50" ht="15.75" customHeight="1">
      <c r="A3" s="1">
        <v>2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 s="4">
        <v>100</v>
      </c>
      <c r="Q3" s="4">
        <v>100</v>
      </c>
      <c r="R3" s="4">
        <v>100</v>
      </c>
      <c r="S3" s="4">
        <v>100</v>
      </c>
      <c r="T3" s="4">
        <v>100</v>
      </c>
      <c r="U3" s="4">
        <v>100</v>
      </c>
      <c r="V3" s="4">
        <v>100</v>
      </c>
      <c r="W3" s="4">
        <v>100</v>
      </c>
      <c r="X3" s="4">
        <v>100</v>
      </c>
      <c r="Y3" s="4">
        <v>100</v>
      </c>
      <c r="Z3" s="4">
        <v>100</v>
      </c>
      <c r="AA3" s="4">
        <v>100</v>
      </c>
      <c r="AB3" s="4">
        <v>100</v>
      </c>
      <c r="AC3" s="4">
        <v>100</v>
      </c>
      <c r="AD3" s="4">
        <v>100</v>
      </c>
      <c r="AE3" s="4">
        <v>100</v>
      </c>
      <c r="AF3" s="4">
        <v>100</v>
      </c>
      <c r="AG3" s="4">
        <v>100</v>
      </c>
      <c r="AH3" s="4">
        <v>100</v>
      </c>
      <c r="AI3" s="4">
        <v>100</v>
      </c>
      <c r="AJ3" s="4">
        <v>89</v>
      </c>
      <c r="AK3" s="4">
        <v>100</v>
      </c>
      <c r="AL3" s="4">
        <v>100</v>
      </c>
      <c r="AM3" s="4">
        <v>100</v>
      </c>
      <c r="AN3" s="4">
        <v>100</v>
      </c>
      <c r="AO3" s="4">
        <v>100</v>
      </c>
      <c r="AP3" s="4">
        <v>90</v>
      </c>
      <c r="AQ3" s="4">
        <v>100</v>
      </c>
      <c r="AR3" s="4">
        <v>99</v>
      </c>
      <c r="AS3" s="4">
        <v>97</v>
      </c>
      <c r="AT3" s="4">
        <v>67</v>
      </c>
      <c r="AU3" s="4">
        <v>4</v>
      </c>
      <c r="AV3" s="5">
        <f t="shared" ref="AV3:AV28" si="0">AVERAGE(B3:AS3)*0.6+AT3*0.3+((AU3-MIN($AU$2:$AU$28))/(MAX($AU$2:$AU$28)-MIN($AU$2:$AU$28))*10+90)*0.1</f>
        <v>88.981313131313129</v>
      </c>
      <c r="AW3" s="4">
        <v>65</v>
      </c>
      <c r="AX3" s="5">
        <f t="shared" ref="AX3:AX28" si="1">AV3*0.6+AW3*0.4</f>
        <v>79.388787878787866</v>
      </c>
    </row>
    <row r="4" spans="1:50" ht="15.75" customHeight="1">
      <c r="A4" s="1">
        <v>3</v>
      </c>
      <c r="B4" s="4">
        <v>100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  <c r="M4" s="4">
        <v>100</v>
      </c>
      <c r="N4" s="4">
        <v>100</v>
      </c>
      <c r="O4" s="4">
        <v>100</v>
      </c>
      <c r="P4" s="4">
        <v>100</v>
      </c>
      <c r="Q4" s="4">
        <v>100</v>
      </c>
      <c r="R4" s="4">
        <v>100</v>
      </c>
      <c r="S4" s="4">
        <v>100</v>
      </c>
      <c r="T4" s="4">
        <v>100</v>
      </c>
      <c r="U4" s="4">
        <v>100</v>
      </c>
      <c r="V4" s="4">
        <v>100</v>
      </c>
      <c r="W4" s="4">
        <v>100</v>
      </c>
      <c r="X4" s="4">
        <v>100</v>
      </c>
      <c r="Y4" s="4">
        <v>100</v>
      </c>
      <c r="Z4" s="4">
        <v>100</v>
      </c>
      <c r="AA4" s="4">
        <v>100</v>
      </c>
      <c r="AB4" s="4">
        <v>100</v>
      </c>
      <c r="AC4" s="4">
        <v>100</v>
      </c>
      <c r="AD4" s="4">
        <v>100</v>
      </c>
      <c r="AE4" s="4">
        <v>100</v>
      </c>
      <c r="AF4" s="4">
        <v>100</v>
      </c>
      <c r="AG4" s="4">
        <v>100</v>
      </c>
      <c r="AH4" s="4">
        <v>100</v>
      </c>
      <c r="AI4" s="4">
        <v>100</v>
      </c>
      <c r="AJ4" s="4">
        <v>100</v>
      </c>
      <c r="AK4" s="4">
        <v>100</v>
      </c>
      <c r="AL4" s="4">
        <v>100</v>
      </c>
      <c r="AM4" s="4">
        <v>100</v>
      </c>
      <c r="AN4" s="4">
        <v>100</v>
      </c>
      <c r="AO4" s="4">
        <v>100</v>
      </c>
      <c r="AP4" s="4">
        <v>100</v>
      </c>
      <c r="AQ4" s="4">
        <v>100</v>
      </c>
      <c r="AR4" s="4">
        <v>100</v>
      </c>
      <c r="AS4" s="4">
        <v>100</v>
      </c>
      <c r="AT4" s="4">
        <v>89</v>
      </c>
      <c r="AU4" s="4">
        <v>2</v>
      </c>
      <c r="AV4" s="5">
        <f t="shared" si="0"/>
        <v>95.811111111111117</v>
      </c>
      <c r="AW4" s="4">
        <v>88</v>
      </c>
      <c r="AX4" s="5">
        <f t="shared" si="1"/>
        <v>92.686666666666667</v>
      </c>
    </row>
    <row r="5" spans="1:50" ht="15.75" customHeight="1">
      <c r="A5" s="1">
        <v>4</v>
      </c>
      <c r="B5" s="4">
        <v>100</v>
      </c>
      <c r="C5" s="4">
        <v>100</v>
      </c>
      <c r="D5" s="4">
        <v>100</v>
      </c>
      <c r="E5" s="4">
        <v>100</v>
      </c>
      <c r="F5" s="4">
        <v>100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 s="4">
        <v>100</v>
      </c>
      <c r="Q5" s="4">
        <v>100</v>
      </c>
      <c r="R5" s="4">
        <v>100</v>
      </c>
      <c r="S5" s="4">
        <v>100</v>
      </c>
      <c r="T5" s="4">
        <v>100</v>
      </c>
      <c r="U5" s="4">
        <v>100</v>
      </c>
      <c r="V5" s="4">
        <v>100</v>
      </c>
      <c r="W5" s="4">
        <v>100</v>
      </c>
      <c r="X5" s="4">
        <v>100</v>
      </c>
      <c r="Y5" s="4">
        <v>100</v>
      </c>
      <c r="Z5" s="4">
        <v>100</v>
      </c>
      <c r="AA5" s="4">
        <v>100</v>
      </c>
      <c r="AB5" s="4">
        <v>100</v>
      </c>
      <c r="AC5" s="4">
        <v>100</v>
      </c>
      <c r="AD5" s="4">
        <v>100</v>
      </c>
      <c r="AE5" s="4">
        <v>100</v>
      </c>
      <c r="AF5" s="4">
        <v>100</v>
      </c>
      <c r="AG5" s="4">
        <v>100</v>
      </c>
      <c r="AH5" s="4">
        <v>100</v>
      </c>
      <c r="AI5" s="4">
        <v>100</v>
      </c>
      <c r="AJ5" s="4">
        <v>100</v>
      </c>
      <c r="AK5" s="4">
        <v>100</v>
      </c>
      <c r="AL5" s="4">
        <v>100</v>
      </c>
      <c r="AM5" s="4">
        <v>100</v>
      </c>
      <c r="AN5" s="4">
        <v>100</v>
      </c>
      <c r="AO5" s="4">
        <v>100</v>
      </c>
      <c r="AP5" s="4">
        <v>100</v>
      </c>
      <c r="AQ5" s="4">
        <v>100</v>
      </c>
      <c r="AR5" s="4">
        <v>100</v>
      </c>
      <c r="AS5" s="4">
        <v>100</v>
      </c>
      <c r="AT5" s="4">
        <v>86</v>
      </c>
      <c r="AU5" s="4">
        <v>7</v>
      </c>
      <c r="AV5" s="5">
        <f t="shared" si="0"/>
        <v>95.188888888888883</v>
      </c>
      <c r="AW5" s="4">
        <v>94</v>
      </c>
      <c r="AX5" s="5">
        <f t="shared" si="1"/>
        <v>94.713333333333338</v>
      </c>
    </row>
    <row r="6" spans="1:50" ht="15.75" customHeight="1">
      <c r="A6" s="1">
        <v>5</v>
      </c>
      <c r="B6" s="4">
        <v>100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4">
        <v>100</v>
      </c>
      <c r="U6" s="4">
        <v>100</v>
      </c>
      <c r="V6" s="4">
        <v>100</v>
      </c>
      <c r="W6" s="4">
        <v>100</v>
      </c>
      <c r="X6" s="4">
        <v>100</v>
      </c>
      <c r="Y6" s="4">
        <v>100</v>
      </c>
      <c r="Z6" s="4">
        <v>100</v>
      </c>
      <c r="AA6" s="4">
        <v>100</v>
      </c>
      <c r="AB6" s="4">
        <v>100</v>
      </c>
      <c r="AC6" s="4">
        <v>100</v>
      </c>
      <c r="AD6" s="4">
        <v>100</v>
      </c>
      <c r="AE6" s="4">
        <v>100</v>
      </c>
      <c r="AF6" s="4">
        <v>100</v>
      </c>
      <c r="AG6" s="4">
        <v>100</v>
      </c>
      <c r="AH6" s="4">
        <v>100</v>
      </c>
      <c r="AI6" s="4">
        <v>100</v>
      </c>
      <c r="AJ6" s="4">
        <v>100</v>
      </c>
      <c r="AK6" s="4">
        <v>100</v>
      </c>
      <c r="AL6" s="4">
        <v>100</v>
      </c>
      <c r="AM6" s="4">
        <v>100</v>
      </c>
      <c r="AN6" s="4">
        <v>100</v>
      </c>
      <c r="AO6" s="4">
        <v>100</v>
      </c>
      <c r="AP6" s="4">
        <v>100</v>
      </c>
      <c r="AQ6" s="4">
        <v>100</v>
      </c>
      <c r="AR6" s="4">
        <v>100</v>
      </c>
      <c r="AS6" s="4">
        <v>100</v>
      </c>
      <c r="AT6" s="4">
        <v>81</v>
      </c>
      <c r="AU6" s="4">
        <v>0</v>
      </c>
      <c r="AV6" s="5">
        <f t="shared" si="0"/>
        <v>93.3</v>
      </c>
      <c r="AW6" s="4">
        <v>78</v>
      </c>
      <c r="AX6" s="5">
        <f t="shared" si="1"/>
        <v>87.18</v>
      </c>
    </row>
    <row r="7" spans="1:50" ht="15.75" customHeight="1">
      <c r="A7" s="1">
        <v>7</v>
      </c>
      <c r="B7" s="4">
        <v>100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  <c r="K7" s="4">
        <v>100</v>
      </c>
      <c r="L7" s="4">
        <v>100</v>
      </c>
      <c r="M7" s="4">
        <v>100</v>
      </c>
      <c r="N7" s="4">
        <v>100</v>
      </c>
      <c r="O7" s="4">
        <v>100</v>
      </c>
      <c r="P7" s="4">
        <v>100</v>
      </c>
      <c r="Q7" s="4">
        <v>100</v>
      </c>
      <c r="R7" s="4">
        <v>100</v>
      </c>
      <c r="S7" s="4">
        <v>100</v>
      </c>
      <c r="T7" s="4">
        <v>100</v>
      </c>
      <c r="U7" s="4">
        <v>100</v>
      </c>
      <c r="V7" s="4">
        <v>100</v>
      </c>
      <c r="W7" s="4">
        <v>100</v>
      </c>
      <c r="X7" s="4">
        <v>100</v>
      </c>
      <c r="Y7" s="4">
        <v>100</v>
      </c>
      <c r="Z7" s="4">
        <v>100</v>
      </c>
      <c r="AA7" s="4">
        <v>100</v>
      </c>
      <c r="AB7" s="4">
        <v>100</v>
      </c>
      <c r="AC7" s="4">
        <v>100</v>
      </c>
      <c r="AD7" s="4">
        <v>100</v>
      </c>
      <c r="AE7" s="4">
        <v>100</v>
      </c>
      <c r="AF7" s="4">
        <v>100</v>
      </c>
      <c r="AG7" s="4">
        <v>100</v>
      </c>
      <c r="AH7" s="4">
        <v>100</v>
      </c>
      <c r="AI7" s="4">
        <v>100</v>
      </c>
      <c r="AJ7" s="4">
        <v>100</v>
      </c>
      <c r="AK7" s="4">
        <v>100</v>
      </c>
      <c r="AL7" s="4">
        <v>100</v>
      </c>
      <c r="AM7" s="4">
        <v>100</v>
      </c>
      <c r="AN7" s="4">
        <v>100</v>
      </c>
      <c r="AO7" s="4">
        <v>100</v>
      </c>
      <c r="AP7" s="4">
        <v>100</v>
      </c>
      <c r="AQ7" s="4">
        <v>100</v>
      </c>
      <c r="AR7" s="4">
        <v>100</v>
      </c>
      <c r="AS7" s="4">
        <v>100</v>
      </c>
      <c r="AT7" s="4">
        <v>50</v>
      </c>
      <c r="AU7" s="4">
        <v>3</v>
      </c>
      <c r="AV7" s="5">
        <f t="shared" si="0"/>
        <v>84.166666666666671</v>
      </c>
      <c r="AW7" s="4">
        <v>56</v>
      </c>
      <c r="AX7" s="5">
        <f t="shared" si="1"/>
        <v>72.900000000000006</v>
      </c>
    </row>
    <row r="8" spans="1:50" ht="15.75" customHeight="1">
      <c r="A8" s="1">
        <v>8</v>
      </c>
      <c r="B8" s="4">
        <v>100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  <c r="K8" s="4">
        <v>100</v>
      </c>
      <c r="L8" s="4">
        <v>100</v>
      </c>
      <c r="M8" s="4">
        <v>100</v>
      </c>
      <c r="N8" s="4">
        <v>100</v>
      </c>
      <c r="O8" s="4">
        <v>100</v>
      </c>
      <c r="P8" s="4">
        <v>100</v>
      </c>
      <c r="Q8" s="4">
        <v>100</v>
      </c>
      <c r="R8" s="4">
        <v>100</v>
      </c>
      <c r="S8" s="4">
        <v>100</v>
      </c>
      <c r="T8" s="4">
        <v>100</v>
      </c>
      <c r="U8" s="4">
        <v>100</v>
      </c>
      <c r="V8" s="4">
        <v>100</v>
      </c>
      <c r="W8" s="4">
        <v>100</v>
      </c>
      <c r="X8" s="4">
        <v>100</v>
      </c>
      <c r="Y8" s="4">
        <v>100</v>
      </c>
      <c r="Z8" s="4">
        <v>100</v>
      </c>
      <c r="AA8" s="4">
        <v>100</v>
      </c>
      <c r="AB8" s="4">
        <v>100</v>
      </c>
      <c r="AC8" s="4">
        <v>100</v>
      </c>
      <c r="AD8" s="4">
        <v>100</v>
      </c>
      <c r="AE8" s="4">
        <v>100</v>
      </c>
      <c r="AF8" s="4">
        <v>100</v>
      </c>
      <c r="AG8" s="4">
        <v>100</v>
      </c>
      <c r="AH8" s="4">
        <v>100</v>
      </c>
      <c r="AI8" s="4">
        <v>100</v>
      </c>
      <c r="AJ8" s="4">
        <v>100</v>
      </c>
      <c r="AK8" s="4">
        <v>100</v>
      </c>
      <c r="AL8" s="4">
        <v>100</v>
      </c>
      <c r="AM8" s="4">
        <v>100</v>
      </c>
      <c r="AN8" s="4">
        <v>100</v>
      </c>
      <c r="AO8" s="4">
        <v>100</v>
      </c>
      <c r="AP8" s="4">
        <v>100</v>
      </c>
      <c r="AQ8" s="4">
        <v>100</v>
      </c>
      <c r="AR8" s="4">
        <v>100</v>
      </c>
      <c r="AS8" s="4">
        <v>100</v>
      </c>
      <c r="AT8" s="4">
        <v>80</v>
      </c>
      <c r="AU8" s="4">
        <v>7</v>
      </c>
      <c r="AV8" s="5">
        <f t="shared" si="0"/>
        <v>93.388888888888886</v>
      </c>
      <c r="AW8" s="4">
        <v>83</v>
      </c>
      <c r="AX8" s="5">
        <f t="shared" si="1"/>
        <v>89.233333333333334</v>
      </c>
    </row>
    <row r="9" spans="1:50" ht="15.75" customHeight="1">
      <c r="A9" s="1">
        <v>9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  <c r="K9" s="4">
        <v>100</v>
      </c>
      <c r="L9" s="4">
        <v>100</v>
      </c>
      <c r="M9" s="4">
        <v>100</v>
      </c>
      <c r="N9" s="4">
        <v>100</v>
      </c>
      <c r="O9" s="4">
        <v>100</v>
      </c>
      <c r="P9" s="4">
        <v>100</v>
      </c>
      <c r="Q9" s="4">
        <v>100</v>
      </c>
      <c r="R9" s="4">
        <v>100</v>
      </c>
      <c r="S9" s="4">
        <v>100</v>
      </c>
      <c r="T9" s="4">
        <v>100</v>
      </c>
      <c r="U9" s="4">
        <v>100</v>
      </c>
      <c r="V9" s="4">
        <v>100</v>
      </c>
      <c r="W9" s="4">
        <v>100</v>
      </c>
      <c r="X9" s="4">
        <v>100</v>
      </c>
      <c r="Y9" s="4">
        <v>100</v>
      </c>
      <c r="Z9" s="4">
        <v>100</v>
      </c>
      <c r="AA9" s="4">
        <v>100</v>
      </c>
      <c r="AB9" s="4">
        <v>100</v>
      </c>
      <c r="AC9" s="4">
        <v>100</v>
      </c>
      <c r="AD9" s="4">
        <v>100</v>
      </c>
      <c r="AE9" s="4">
        <v>100</v>
      </c>
      <c r="AF9" s="4">
        <v>100</v>
      </c>
      <c r="AG9" s="4">
        <v>100</v>
      </c>
      <c r="AH9" s="4">
        <v>100</v>
      </c>
      <c r="AI9" s="4">
        <v>100</v>
      </c>
      <c r="AJ9" s="4">
        <v>100</v>
      </c>
      <c r="AK9" s="4">
        <v>100</v>
      </c>
      <c r="AL9" s="4">
        <v>100</v>
      </c>
      <c r="AM9" s="4">
        <v>100</v>
      </c>
      <c r="AN9" s="4">
        <v>100</v>
      </c>
      <c r="AO9" s="4">
        <v>100</v>
      </c>
      <c r="AP9" s="4">
        <v>100</v>
      </c>
      <c r="AQ9" s="4">
        <v>100</v>
      </c>
      <c r="AR9" s="4">
        <v>100</v>
      </c>
      <c r="AS9" s="4">
        <v>100</v>
      </c>
      <c r="AT9" s="4">
        <v>71</v>
      </c>
      <c r="AU9" s="4">
        <v>5</v>
      </c>
      <c r="AV9" s="5">
        <f t="shared" si="0"/>
        <v>90.577777777777769</v>
      </c>
      <c r="AW9" s="4">
        <v>67</v>
      </c>
      <c r="AX9" s="5">
        <f t="shared" si="1"/>
        <v>81.146666666666661</v>
      </c>
    </row>
    <row r="10" spans="1:50" ht="15.75" customHeight="1">
      <c r="A10" s="1">
        <v>10</v>
      </c>
      <c r="B10" s="4">
        <v>100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  <c r="K10" s="4">
        <v>100</v>
      </c>
      <c r="L10" s="4">
        <v>100</v>
      </c>
      <c r="M10" s="4">
        <v>100</v>
      </c>
      <c r="N10" s="4">
        <v>100</v>
      </c>
      <c r="O10" s="4">
        <v>100</v>
      </c>
      <c r="P10" s="4">
        <v>100</v>
      </c>
      <c r="Q10" s="4">
        <v>100</v>
      </c>
      <c r="R10" s="4">
        <v>100</v>
      </c>
      <c r="S10" s="4">
        <v>100</v>
      </c>
      <c r="T10" s="4">
        <v>100</v>
      </c>
      <c r="U10" s="4">
        <v>100</v>
      </c>
      <c r="V10" s="4">
        <v>100</v>
      </c>
      <c r="W10" s="4">
        <v>100</v>
      </c>
      <c r="X10" s="4">
        <v>100</v>
      </c>
      <c r="Y10" s="4">
        <v>100</v>
      </c>
      <c r="Z10" s="4">
        <v>100</v>
      </c>
      <c r="AA10" s="4">
        <v>100</v>
      </c>
      <c r="AB10" s="4">
        <v>100</v>
      </c>
      <c r="AC10" s="4">
        <v>100</v>
      </c>
      <c r="AD10" s="4">
        <v>100</v>
      </c>
      <c r="AE10" s="4">
        <v>100</v>
      </c>
      <c r="AF10" s="4">
        <v>100</v>
      </c>
      <c r="AG10" s="4">
        <v>100</v>
      </c>
      <c r="AH10" s="4">
        <v>100</v>
      </c>
      <c r="AI10" s="4">
        <v>100</v>
      </c>
      <c r="AJ10" s="4">
        <v>100</v>
      </c>
      <c r="AK10" s="4">
        <v>100</v>
      </c>
      <c r="AL10" s="4">
        <v>100</v>
      </c>
      <c r="AM10" s="4">
        <v>100</v>
      </c>
      <c r="AN10" s="4">
        <v>100</v>
      </c>
      <c r="AO10" s="4">
        <v>100</v>
      </c>
      <c r="AP10" s="4">
        <v>100</v>
      </c>
      <c r="AQ10" s="4">
        <v>100</v>
      </c>
      <c r="AR10" s="4">
        <v>100</v>
      </c>
      <c r="AS10" s="4">
        <v>100</v>
      </c>
      <c r="AT10" s="4">
        <v>91</v>
      </c>
      <c r="AU10" s="4">
        <v>8</v>
      </c>
      <c r="AV10" s="5">
        <f t="shared" si="0"/>
        <v>96.74444444444444</v>
      </c>
      <c r="AW10" s="4">
        <v>94</v>
      </c>
      <c r="AX10" s="5">
        <f t="shared" si="1"/>
        <v>95.646666666666661</v>
      </c>
    </row>
    <row r="11" spans="1:50" ht="15.75" customHeight="1">
      <c r="A11" s="1">
        <v>11</v>
      </c>
      <c r="B11" s="4">
        <v>100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  <c r="K11" s="4">
        <v>100</v>
      </c>
      <c r="L11" s="4">
        <v>100</v>
      </c>
      <c r="M11" s="4">
        <v>100</v>
      </c>
      <c r="N11" s="4">
        <v>100</v>
      </c>
      <c r="O11" s="4">
        <v>100</v>
      </c>
      <c r="P11" s="4">
        <v>100</v>
      </c>
      <c r="Q11" s="4">
        <v>100</v>
      </c>
      <c r="R11" s="4">
        <v>100</v>
      </c>
      <c r="S11" s="4">
        <v>100</v>
      </c>
      <c r="T11" s="4">
        <v>100</v>
      </c>
      <c r="U11" s="4">
        <v>100</v>
      </c>
      <c r="V11" s="4">
        <v>100</v>
      </c>
      <c r="W11" s="4">
        <v>100</v>
      </c>
      <c r="X11" s="4">
        <v>100</v>
      </c>
      <c r="Y11" s="4">
        <v>100</v>
      </c>
      <c r="Z11" s="4">
        <v>100</v>
      </c>
      <c r="AA11" s="4">
        <v>100</v>
      </c>
      <c r="AB11" s="4">
        <v>100</v>
      </c>
      <c r="AC11" s="4">
        <v>100</v>
      </c>
      <c r="AD11" s="4">
        <v>100</v>
      </c>
      <c r="AE11" s="4">
        <v>100</v>
      </c>
      <c r="AF11" s="4">
        <v>100</v>
      </c>
      <c r="AG11" s="4">
        <v>100</v>
      </c>
      <c r="AH11" s="4">
        <v>100</v>
      </c>
      <c r="AI11" s="4">
        <v>100</v>
      </c>
      <c r="AJ11" s="4">
        <v>100</v>
      </c>
      <c r="AK11" s="4">
        <v>100</v>
      </c>
      <c r="AL11" s="4">
        <v>100</v>
      </c>
      <c r="AM11" s="4">
        <v>100</v>
      </c>
      <c r="AN11" s="4">
        <v>100</v>
      </c>
      <c r="AO11" s="4">
        <v>100</v>
      </c>
      <c r="AP11" s="4">
        <v>100</v>
      </c>
      <c r="AQ11" s="4">
        <v>100</v>
      </c>
      <c r="AR11" s="4">
        <v>100</v>
      </c>
      <c r="AS11" s="4">
        <v>100</v>
      </c>
      <c r="AT11" s="4">
        <v>79</v>
      </c>
      <c r="AU11" s="4">
        <v>17</v>
      </c>
      <c r="AV11" s="5">
        <f t="shared" si="0"/>
        <v>93.644444444444446</v>
      </c>
      <c r="AW11" s="4">
        <v>73</v>
      </c>
      <c r="AX11" s="5">
        <f t="shared" si="1"/>
        <v>85.38666666666667</v>
      </c>
    </row>
    <row r="12" spans="1:50" ht="15.75" customHeight="1">
      <c r="A12" s="1">
        <v>12</v>
      </c>
      <c r="B12" s="4">
        <v>100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  <c r="N12" s="4">
        <v>100</v>
      </c>
      <c r="O12" s="4">
        <v>100</v>
      </c>
      <c r="P12" s="4">
        <v>100</v>
      </c>
      <c r="Q12" s="4">
        <v>100</v>
      </c>
      <c r="R12" s="4">
        <v>100</v>
      </c>
      <c r="S12" s="4">
        <v>100</v>
      </c>
      <c r="T12" s="4">
        <v>100</v>
      </c>
      <c r="U12" s="4">
        <v>100</v>
      </c>
      <c r="V12" s="4">
        <v>100</v>
      </c>
      <c r="W12" s="4">
        <v>100</v>
      </c>
      <c r="X12" s="4">
        <v>100</v>
      </c>
      <c r="Y12" s="4">
        <v>100</v>
      </c>
      <c r="Z12" s="4">
        <v>100</v>
      </c>
      <c r="AA12" s="4">
        <v>100</v>
      </c>
      <c r="AB12" s="4">
        <v>100</v>
      </c>
      <c r="AC12" s="4">
        <v>100</v>
      </c>
      <c r="AD12" s="4">
        <v>100</v>
      </c>
      <c r="AE12" s="4">
        <v>100</v>
      </c>
      <c r="AF12" s="4">
        <v>100</v>
      </c>
      <c r="AG12" s="4">
        <v>100</v>
      </c>
      <c r="AH12" s="4">
        <v>100</v>
      </c>
      <c r="AI12" s="4">
        <v>100</v>
      </c>
      <c r="AJ12" s="4">
        <v>100</v>
      </c>
      <c r="AK12" s="4">
        <v>100</v>
      </c>
      <c r="AL12" s="4">
        <v>100</v>
      </c>
      <c r="AM12" s="4">
        <v>100</v>
      </c>
      <c r="AN12" s="4">
        <v>100</v>
      </c>
      <c r="AO12" s="4">
        <v>100</v>
      </c>
      <c r="AP12" s="4">
        <v>100</v>
      </c>
      <c r="AQ12" s="4">
        <v>100</v>
      </c>
      <c r="AR12" s="4">
        <v>100</v>
      </c>
      <c r="AS12" s="4">
        <v>100</v>
      </c>
      <c r="AT12" s="4">
        <v>81</v>
      </c>
      <c r="AU12" s="4">
        <v>1</v>
      </c>
      <c r="AV12" s="5">
        <f t="shared" si="0"/>
        <v>93.355555555555554</v>
      </c>
      <c r="AW12" s="4">
        <v>96</v>
      </c>
      <c r="AX12" s="5">
        <f t="shared" si="1"/>
        <v>94.413333333333327</v>
      </c>
    </row>
    <row r="13" spans="1:50" ht="15.75" customHeight="1">
      <c r="A13" s="1">
        <v>13</v>
      </c>
      <c r="B13" s="4">
        <v>100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  <c r="K13" s="4">
        <v>100</v>
      </c>
      <c r="L13" s="4">
        <v>100</v>
      </c>
      <c r="M13" s="4">
        <v>100</v>
      </c>
      <c r="N13" s="4">
        <v>100</v>
      </c>
      <c r="O13" s="4">
        <v>100</v>
      </c>
      <c r="P13" s="4">
        <v>100</v>
      </c>
      <c r="Q13" s="4">
        <v>100</v>
      </c>
      <c r="R13" s="4">
        <v>100</v>
      </c>
      <c r="S13" s="4">
        <v>100</v>
      </c>
      <c r="T13" s="4">
        <v>100</v>
      </c>
      <c r="U13" s="4">
        <v>100</v>
      </c>
      <c r="V13" s="4">
        <v>100</v>
      </c>
      <c r="W13" s="4">
        <v>100</v>
      </c>
      <c r="X13" s="4">
        <v>100</v>
      </c>
      <c r="Y13" s="4">
        <v>100</v>
      </c>
      <c r="Z13" s="4">
        <v>100</v>
      </c>
      <c r="AA13" s="4">
        <v>100</v>
      </c>
      <c r="AB13" s="4">
        <v>100</v>
      </c>
      <c r="AC13" s="4">
        <v>100</v>
      </c>
      <c r="AD13" s="4">
        <v>100</v>
      </c>
      <c r="AE13" s="4">
        <v>100</v>
      </c>
      <c r="AF13" s="4">
        <v>100</v>
      </c>
      <c r="AG13" s="4">
        <v>100</v>
      </c>
      <c r="AH13" s="4">
        <v>100</v>
      </c>
      <c r="AI13" s="4">
        <v>100</v>
      </c>
      <c r="AJ13" s="4">
        <v>100</v>
      </c>
      <c r="AK13" s="4">
        <v>100</v>
      </c>
      <c r="AL13" s="4">
        <v>100</v>
      </c>
      <c r="AM13" s="4">
        <v>100</v>
      </c>
      <c r="AN13" s="4">
        <v>100</v>
      </c>
      <c r="AO13" s="4">
        <v>100</v>
      </c>
      <c r="AP13" s="4">
        <v>100</v>
      </c>
      <c r="AQ13" s="4">
        <v>100</v>
      </c>
      <c r="AR13" s="4">
        <v>100</v>
      </c>
      <c r="AS13" s="4">
        <v>100</v>
      </c>
      <c r="AT13" s="4">
        <v>92</v>
      </c>
      <c r="AU13" s="4">
        <v>8</v>
      </c>
      <c r="AV13" s="5">
        <f t="shared" si="0"/>
        <v>97.044444444444437</v>
      </c>
      <c r="AW13" s="4">
        <v>85</v>
      </c>
      <c r="AX13" s="5">
        <f t="shared" si="1"/>
        <v>92.226666666666659</v>
      </c>
    </row>
    <row r="14" spans="1:50" ht="15.75" customHeight="1">
      <c r="A14" s="1">
        <v>14</v>
      </c>
      <c r="B14" s="4">
        <v>100</v>
      </c>
      <c r="C14" s="4">
        <v>100</v>
      </c>
      <c r="D14" s="4">
        <v>100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100</v>
      </c>
      <c r="P14" s="4">
        <v>100</v>
      </c>
      <c r="Q14" s="4">
        <v>100</v>
      </c>
      <c r="R14" s="4">
        <v>100</v>
      </c>
      <c r="S14" s="4">
        <v>100</v>
      </c>
      <c r="T14" s="4">
        <v>100</v>
      </c>
      <c r="U14" s="4">
        <v>100</v>
      </c>
      <c r="V14" s="4">
        <v>100</v>
      </c>
      <c r="W14" s="4">
        <v>100</v>
      </c>
      <c r="X14" s="4">
        <v>100</v>
      </c>
      <c r="Y14" s="4">
        <v>100</v>
      </c>
      <c r="Z14" s="4">
        <v>100</v>
      </c>
      <c r="AA14" s="4">
        <v>100</v>
      </c>
      <c r="AB14" s="4">
        <v>100</v>
      </c>
      <c r="AC14" s="4">
        <v>100</v>
      </c>
      <c r="AD14" s="4">
        <v>100</v>
      </c>
      <c r="AE14" s="4">
        <v>100</v>
      </c>
      <c r="AF14" s="4">
        <v>100</v>
      </c>
      <c r="AG14" s="4">
        <v>100</v>
      </c>
      <c r="AH14" s="4">
        <v>100</v>
      </c>
      <c r="AI14" s="4">
        <v>100</v>
      </c>
      <c r="AJ14" s="4">
        <v>100</v>
      </c>
      <c r="AK14" s="4">
        <v>100</v>
      </c>
      <c r="AL14" s="4">
        <v>100</v>
      </c>
      <c r="AM14" s="4">
        <v>100</v>
      </c>
      <c r="AN14" s="4">
        <v>100</v>
      </c>
      <c r="AO14" s="4">
        <v>100</v>
      </c>
      <c r="AP14" s="4">
        <v>100</v>
      </c>
      <c r="AQ14" s="4">
        <v>100</v>
      </c>
      <c r="AR14" s="4">
        <v>100</v>
      </c>
      <c r="AS14" s="4">
        <v>100</v>
      </c>
      <c r="AT14" s="4">
        <v>93</v>
      </c>
      <c r="AU14" s="4">
        <v>3</v>
      </c>
      <c r="AV14" s="5">
        <f t="shared" si="0"/>
        <v>97.066666666666677</v>
      </c>
      <c r="AW14" s="4">
        <v>86</v>
      </c>
      <c r="AX14" s="5">
        <f t="shared" si="1"/>
        <v>92.64</v>
      </c>
    </row>
    <row r="15" spans="1:50" ht="15.75" customHeight="1">
      <c r="A15" s="1">
        <v>15</v>
      </c>
      <c r="B15" s="4">
        <v>100</v>
      </c>
      <c r="C15" s="4">
        <v>100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</v>
      </c>
      <c r="P15" s="4">
        <v>100</v>
      </c>
      <c r="Q15" s="4">
        <v>100</v>
      </c>
      <c r="R15" s="4">
        <v>100</v>
      </c>
      <c r="S15" s="4">
        <v>100</v>
      </c>
      <c r="T15" s="4">
        <v>100</v>
      </c>
      <c r="U15" s="4">
        <v>100</v>
      </c>
      <c r="V15" s="4">
        <v>100</v>
      </c>
      <c r="W15" s="4">
        <v>100</v>
      </c>
      <c r="X15" s="4">
        <v>100</v>
      </c>
      <c r="Y15" s="4">
        <v>100</v>
      </c>
      <c r="Z15" s="4">
        <v>100</v>
      </c>
      <c r="AA15" s="4">
        <v>100</v>
      </c>
      <c r="AB15" s="4">
        <v>100</v>
      </c>
      <c r="AC15" s="4">
        <v>100</v>
      </c>
      <c r="AD15" s="4">
        <v>100</v>
      </c>
      <c r="AE15" s="4">
        <v>100</v>
      </c>
      <c r="AF15" s="4">
        <v>100</v>
      </c>
      <c r="AG15" s="4">
        <v>100</v>
      </c>
      <c r="AH15" s="4">
        <v>100</v>
      </c>
      <c r="AI15" s="4">
        <v>100</v>
      </c>
      <c r="AJ15" s="4">
        <v>100</v>
      </c>
      <c r="AK15" s="4">
        <v>100</v>
      </c>
      <c r="AL15" s="4">
        <v>100</v>
      </c>
      <c r="AM15" s="4">
        <v>100</v>
      </c>
      <c r="AN15" s="4">
        <v>100</v>
      </c>
      <c r="AO15" s="4">
        <v>100</v>
      </c>
      <c r="AP15" s="4">
        <v>100</v>
      </c>
      <c r="AQ15" s="4">
        <v>100</v>
      </c>
      <c r="AR15" s="4">
        <v>100</v>
      </c>
      <c r="AS15" s="4">
        <v>100</v>
      </c>
      <c r="AT15" s="4">
        <v>81</v>
      </c>
      <c r="AU15" s="4">
        <v>2</v>
      </c>
      <c r="AV15" s="5">
        <f t="shared" si="0"/>
        <v>93.411111111111111</v>
      </c>
      <c r="AW15" s="4">
        <v>70</v>
      </c>
      <c r="AX15" s="5">
        <f t="shared" si="1"/>
        <v>84.046666666666667</v>
      </c>
    </row>
    <row r="16" spans="1:50" ht="15.75" customHeight="1">
      <c r="A16" s="1">
        <v>16</v>
      </c>
      <c r="B16" s="4">
        <v>100</v>
      </c>
      <c r="C16" s="4">
        <v>100</v>
      </c>
      <c r="D16" s="4">
        <v>100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  <c r="N16" s="4">
        <v>100</v>
      </c>
      <c r="O16" s="4">
        <v>100</v>
      </c>
      <c r="P16" s="4">
        <v>100</v>
      </c>
      <c r="Q16" s="4">
        <v>100</v>
      </c>
      <c r="R16" s="4">
        <v>100</v>
      </c>
      <c r="S16" s="4">
        <v>100</v>
      </c>
      <c r="T16" s="4">
        <v>100</v>
      </c>
      <c r="U16" s="4">
        <v>100</v>
      </c>
      <c r="V16" s="4">
        <v>100</v>
      </c>
      <c r="W16" s="4">
        <v>100</v>
      </c>
      <c r="X16" s="4">
        <v>100</v>
      </c>
      <c r="Y16" s="4">
        <v>100</v>
      </c>
      <c r="Z16" s="4">
        <v>100</v>
      </c>
      <c r="AA16" s="4">
        <v>100</v>
      </c>
      <c r="AB16" s="4">
        <v>100</v>
      </c>
      <c r="AC16" s="4">
        <v>100</v>
      </c>
      <c r="AD16" s="4">
        <v>100</v>
      </c>
      <c r="AE16" s="4">
        <v>100</v>
      </c>
      <c r="AF16" s="4">
        <v>100</v>
      </c>
      <c r="AG16" s="4">
        <v>100</v>
      </c>
      <c r="AH16" s="4">
        <v>100</v>
      </c>
      <c r="AI16" s="4">
        <v>100</v>
      </c>
      <c r="AJ16" s="4">
        <v>100</v>
      </c>
      <c r="AK16" s="4">
        <v>100</v>
      </c>
      <c r="AL16" s="4">
        <v>100</v>
      </c>
      <c r="AM16" s="4">
        <v>100</v>
      </c>
      <c r="AN16" s="4">
        <v>100</v>
      </c>
      <c r="AO16" s="4">
        <v>100</v>
      </c>
      <c r="AP16" s="4">
        <v>100</v>
      </c>
      <c r="AQ16" s="4">
        <v>100</v>
      </c>
      <c r="AR16" s="4">
        <v>100</v>
      </c>
      <c r="AS16" s="4">
        <v>100</v>
      </c>
      <c r="AT16" s="4">
        <v>96</v>
      </c>
      <c r="AU16" s="4">
        <v>7</v>
      </c>
      <c r="AV16" s="5">
        <f t="shared" si="0"/>
        <v>98.188888888888883</v>
      </c>
      <c r="AW16" s="4">
        <v>95</v>
      </c>
      <c r="AX16" s="5">
        <f t="shared" si="1"/>
        <v>96.913333333333327</v>
      </c>
    </row>
    <row r="17" spans="1:50" ht="15.75" customHeight="1">
      <c r="A17" s="1">
        <v>17</v>
      </c>
      <c r="B17" s="4">
        <v>100</v>
      </c>
      <c r="C17" s="4">
        <v>100</v>
      </c>
      <c r="D17" s="4">
        <v>100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100</v>
      </c>
      <c r="L17" s="4">
        <v>100</v>
      </c>
      <c r="M17" s="4">
        <v>100</v>
      </c>
      <c r="N17" s="4">
        <v>100</v>
      </c>
      <c r="O17" s="4">
        <v>100</v>
      </c>
      <c r="P17" s="4">
        <v>100</v>
      </c>
      <c r="Q17" s="4">
        <v>100</v>
      </c>
      <c r="R17" s="4">
        <v>100</v>
      </c>
      <c r="S17" s="4">
        <v>100</v>
      </c>
      <c r="T17" s="4">
        <v>100</v>
      </c>
      <c r="U17" s="4">
        <v>100</v>
      </c>
      <c r="V17" s="4">
        <v>100</v>
      </c>
      <c r="W17" s="4">
        <v>100</v>
      </c>
      <c r="X17" s="4">
        <v>100</v>
      </c>
      <c r="Y17" s="4">
        <v>100</v>
      </c>
      <c r="Z17" s="4">
        <v>100</v>
      </c>
      <c r="AA17" s="4">
        <v>100</v>
      </c>
      <c r="AB17" s="4">
        <v>100</v>
      </c>
      <c r="AC17" s="4">
        <v>100</v>
      </c>
      <c r="AD17" s="4">
        <v>100</v>
      </c>
      <c r="AE17" s="4">
        <v>100</v>
      </c>
      <c r="AF17" s="4">
        <v>100</v>
      </c>
      <c r="AG17" s="4">
        <v>100</v>
      </c>
      <c r="AH17" s="4">
        <v>100</v>
      </c>
      <c r="AI17" s="4">
        <v>100</v>
      </c>
      <c r="AJ17" s="4">
        <v>100</v>
      </c>
      <c r="AK17" s="4">
        <v>100</v>
      </c>
      <c r="AL17" s="4">
        <v>100</v>
      </c>
      <c r="AM17" s="4">
        <v>100</v>
      </c>
      <c r="AN17" s="4">
        <v>100</v>
      </c>
      <c r="AO17" s="4">
        <v>100</v>
      </c>
      <c r="AP17" s="4">
        <v>100</v>
      </c>
      <c r="AQ17" s="4">
        <v>100</v>
      </c>
      <c r="AR17" s="4">
        <v>100</v>
      </c>
      <c r="AS17" s="4">
        <v>100</v>
      </c>
      <c r="AT17" s="4">
        <v>58</v>
      </c>
      <c r="AU17" s="4">
        <v>3</v>
      </c>
      <c r="AV17" s="5">
        <f t="shared" si="0"/>
        <v>86.566666666666677</v>
      </c>
      <c r="AW17" s="4">
        <v>69</v>
      </c>
      <c r="AX17" s="5">
        <f t="shared" si="1"/>
        <v>79.540000000000006</v>
      </c>
    </row>
    <row r="18" spans="1:50" ht="15.75" customHeight="1">
      <c r="A18" s="1">
        <v>18</v>
      </c>
      <c r="B18" s="4">
        <v>100</v>
      </c>
      <c r="C18" s="4">
        <v>100</v>
      </c>
      <c r="D18" s="4">
        <v>100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  <c r="N18" s="4">
        <v>100</v>
      </c>
      <c r="O18" s="4">
        <v>100</v>
      </c>
      <c r="P18" s="4">
        <v>100</v>
      </c>
      <c r="Q18" s="4">
        <v>100</v>
      </c>
      <c r="R18" s="4">
        <v>100</v>
      </c>
      <c r="S18" s="4">
        <v>100</v>
      </c>
      <c r="T18" s="4">
        <v>100</v>
      </c>
      <c r="U18" s="4">
        <v>100</v>
      </c>
      <c r="V18" s="4">
        <v>100</v>
      </c>
      <c r="W18" s="4">
        <v>100</v>
      </c>
      <c r="X18" s="4">
        <v>100</v>
      </c>
      <c r="Y18" s="4">
        <v>100</v>
      </c>
      <c r="Z18" s="4">
        <v>100</v>
      </c>
      <c r="AA18" s="4">
        <v>100</v>
      </c>
      <c r="AB18" s="4">
        <v>100</v>
      </c>
      <c r="AC18" s="4">
        <v>100</v>
      </c>
      <c r="AD18" s="4">
        <v>100</v>
      </c>
      <c r="AE18" s="4">
        <v>100</v>
      </c>
      <c r="AF18" s="4">
        <v>100</v>
      </c>
      <c r="AG18" s="4">
        <v>100</v>
      </c>
      <c r="AH18" s="4">
        <v>100</v>
      </c>
      <c r="AI18" s="4">
        <v>100</v>
      </c>
      <c r="AJ18" s="4">
        <v>100</v>
      </c>
      <c r="AK18" s="4">
        <v>100</v>
      </c>
      <c r="AL18" s="4">
        <v>100</v>
      </c>
      <c r="AM18" s="4">
        <v>100</v>
      </c>
      <c r="AN18" s="4">
        <v>100</v>
      </c>
      <c r="AO18" s="4">
        <v>100</v>
      </c>
      <c r="AP18" s="4">
        <v>100</v>
      </c>
      <c r="AQ18" s="4">
        <v>100</v>
      </c>
      <c r="AR18" s="4">
        <v>100</v>
      </c>
      <c r="AS18" s="4">
        <v>100</v>
      </c>
      <c r="AT18" s="4">
        <v>91</v>
      </c>
      <c r="AU18" s="4">
        <v>0</v>
      </c>
      <c r="AV18" s="5">
        <f t="shared" si="0"/>
        <v>96.3</v>
      </c>
      <c r="AW18" s="4">
        <v>83</v>
      </c>
      <c r="AX18" s="5">
        <f t="shared" si="1"/>
        <v>90.97999999999999</v>
      </c>
    </row>
    <row r="19" spans="1:50" ht="15.75" customHeight="1">
      <c r="A19" s="1">
        <v>19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100</v>
      </c>
      <c r="L19" s="4">
        <v>100</v>
      </c>
      <c r="M19" s="4">
        <v>100</v>
      </c>
      <c r="N19" s="4">
        <v>100</v>
      </c>
      <c r="O19" s="4">
        <v>100</v>
      </c>
      <c r="P19" s="4">
        <v>100</v>
      </c>
      <c r="Q19" s="4">
        <v>100</v>
      </c>
      <c r="R19" s="4">
        <v>100</v>
      </c>
      <c r="S19" s="4">
        <v>100</v>
      </c>
      <c r="T19" s="4">
        <v>100</v>
      </c>
      <c r="U19" s="4">
        <v>100</v>
      </c>
      <c r="V19" s="4">
        <v>100</v>
      </c>
      <c r="W19" s="4">
        <v>100</v>
      </c>
      <c r="X19" s="4">
        <v>100</v>
      </c>
      <c r="Y19" s="4">
        <v>100</v>
      </c>
      <c r="Z19" s="4">
        <v>100</v>
      </c>
      <c r="AA19" s="4">
        <v>100</v>
      </c>
      <c r="AB19" s="4">
        <v>100</v>
      </c>
      <c r="AC19" s="4">
        <v>100</v>
      </c>
      <c r="AD19" s="4">
        <v>100</v>
      </c>
      <c r="AE19" s="4">
        <v>100</v>
      </c>
      <c r="AF19" s="4">
        <v>100</v>
      </c>
      <c r="AG19" s="4">
        <v>100</v>
      </c>
      <c r="AH19" s="4">
        <v>100</v>
      </c>
      <c r="AI19" s="4">
        <v>100</v>
      </c>
      <c r="AJ19" s="4">
        <v>100</v>
      </c>
      <c r="AK19" s="4">
        <v>100</v>
      </c>
      <c r="AL19" s="4">
        <v>100</v>
      </c>
      <c r="AM19" s="4">
        <v>100</v>
      </c>
      <c r="AN19" s="4">
        <v>100</v>
      </c>
      <c r="AO19" s="4">
        <v>100</v>
      </c>
      <c r="AP19" s="4">
        <v>100</v>
      </c>
      <c r="AQ19" s="4">
        <v>100</v>
      </c>
      <c r="AR19" s="4">
        <v>100</v>
      </c>
      <c r="AS19" s="4">
        <v>100</v>
      </c>
      <c r="AT19" s="4">
        <v>90</v>
      </c>
      <c r="AU19" s="4">
        <v>14</v>
      </c>
      <c r="AV19" s="5">
        <f t="shared" si="0"/>
        <v>96.777777777777771</v>
      </c>
      <c r="AW19" s="4">
        <v>89</v>
      </c>
      <c r="AX19" s="5">
        <f t="shared" si="1"/>
        <v>93.666666666666657</v>
      </c>
    </row>
    <row r="20" spans="1:50" ht="15.75" customHeight="1">
      <c r="A20" s="1">
        <v>20</v>
      </c>
      <c r="B20" s="4">
        <v>100</v>
      </c>
      <c r="C20" s="4">
        <v>100</v>
      </c>
      <c r="D20" s="4">
        <v>100</v>
      </c>
      <c r="E20" s="4">
        <v>100</v>
      </c>
      <c r="F20" s="4">
        <v>100</v>
      </c>
      <c r="G20" s="4">
        <v>100</v>
      </c>
      <c r="H20" s="4">
        <v>100</v>
      </c>
      <c r="I20" s="4">
        <v>100</v>
      </c>
      <c r="J20" s="4">
        <v>100</v>
      </c>
      <c r="K20" s="4">
        <v>100</v>
      </c>
      <c r="L20" s="4">
        <v>100</v>
      </c>
      <c r="M20" s="4">
        <v>100</v>
      </c>
      <c r="N20" s="4">
        <v>100</v>
      </c>
      <c r="O20" s="4">
        <v>100</v>
      </c>
      <c r="P20" s="4">
        <v>100</v>
      </c>
      <c r="Q20" s="4">
        <v>100</v>
      </c>
      <c r="R20" s="4">
        <v>100</v>
      </c>
      <c r="S20" s="4">
        <v>100</v>
      </c>
      <c r="T20" s="4">
        <v>100</v>
      </c>
      <c r="U20" s="4">
        <v>100</v>
      </c>
      <c r="V20" s="4">
        <v>100</v>
      </c>
      <c r="W20" s="4">
        <v>100</v>
      </c>
      <c r="X20" s="4">
        <v>100</v>
      </c>
      <c r="Y20" s="4">
        <v>100</v>
      </c>
      <c r="Z20" s="4">
        <v>100</v>
      </c>
      <c r="AA20" s="4">
        <v>100</v>
      </c>
      <c r="AB20" s="4">
        <v>100</v>
      </c>
      <c r="AC20" s="4">
        <v>100</v>
      </c>
      <c r="AD20" s="4">
        <v>100</v>
      </c>
      <c r="AE20" s="4">
        <v>100</v>
      </c>
      <c r="AF20" s="4">
        <v>100</v>
      </c>
      <c r="AG20" s="4">
        <v>100</v>
      </c>
      <c r="AH20" s="4">
        <v>100</v>
      </c>
      <c r="AI20" s="4">
        <v>100</v>
      </c>
      <c r="AJ20" s="4">
        <v>100</v>
      </c>
      <c r="AK20" s="4">
        <v>100</v>
      </c>
      <c r="AL20" s="4">
        <v>100</v>
      </c>
      <c r="AM20" s="4">
        <v>100</v>
      </c>
      <c r="AN20" s="4">
        <v>100</v>
      </c>
      <c r="AO20" s="4">
        <v>100</v>
      </c>
      <c r="AP20" s="4">
        <v>100</v>
      </c>
      <c r="AQ20" s="4">
        <v>100</v>
      </c>
      <c r="AR20" s="4">
        <v>100</v>
      </c>
      <c r="AS20" s="4">
        <v>100</v>
      </c>
      <c r="AT20" s="4">
        <v>81</v>
      </c>
      <c r="AU20" s="4">
        <v>18</v>
      </c>
      <c r="AV20" s="5">
        <f t="shared" si="0"/>
        <v>94.3</v>
      </c>
      <c r="AW20" s="4">
        <v>73</v>
      </c>
      <c r="AX20" s="5">
        <f t="shared" si="1"/>
        <v>85.78</v>
      </c>
    </row>
    <row r="21" spans="1:50" ht="15.75" customHeight="1">
      <c r="A21" s="1">
        <v>21</v>
      </c>
      <c r="B21" s="4">
        <v>100</v>
      </c>
      <c r="C21" s="4">
        <v>100</v>
      </c>
      <c r="D21" s="4">
        <v>100</v>
      </c>
      <c r="E21" s="4">
        <v>100</v>
      </c>
      <c r="F21" s="4">
        <v>100</v>
      </c>
      <c r="G21" s="4">
        <v>100</v>
      </c>
      <c r="H21" s="4">
        <v>100</v>
      </c>
      <c r="I21" s="4">
        <v>100</v>
      </c>
      <c r="J21" s="4">
        <v>100</v>
      </c>
      <c r="K21" s="4">
        <v>100</v>
      </c>
      <c r="L21" s="4">
        <v>100</v>
      </c>
      <c r="M21" s="4">
        <v>100</v>
      </c>
      <c r="N21" s="4">
        <v>100</v>
      </c>
      <c r="O21" s="4">
        <v>100</v>
      </c>
      <c r="P21" s="4">
        <v>100</v>
      </c>
      <c r="Q21" s="4">
        <v>100</v>
      </c>
      <c r="R21" s="4">
        <v>100</v>
      </c>
      <c r="S21" s="4">
        <v>100</v>
      </c>
      <c r="T21" s="4">
        <v>100</v>
      </c>
      <c r="U21" s="4">
        <v>100</v>
      </c>
      <c r="V21" s="4">
        <v>100</v>
      </c>
      <c r="W21" s="4">
        <v>100</v>
      </c>
      <c r="X21" s="4">
        <v>100</v>
      </c>
      <c r="Y21" s="4">
        <v>100</v>
      </c>
      <c r="Z21" s="4">
        <v>100</v>
      </c>
      <c r="AA21" s="4">
        <v>100</v>
      </c>
      <c r="AB21" s="4">
        <v>100</v>
      </c>
      <c r="AC21" s="4">
        <v>100</v>
      </c>
      <c r="AD21" s="4">
        <v>100</v>
      </c>
      <c r="AE21" s="4">
        <v>100</v>
      </c>
      <c r="AF21" s="4">
        <v>100</v>
      </c>
      <c r="AG21" s="4">
        <v>100</v>
      </c>
      <c r="AH21" s="4">
        <v>100</v>
      </c>
      <c r="AI21" s="4">
        <v>100</v>
      </c>
      <c r="AJ21" s="4">
        <v>100</v>
      </c>
      <c r="AK21" s="4">
        <v>100</v>
      </c>
      <c r="AL21" s="4">
        <v>96</v>
      </c>
      <c r="AM21" s="4">
        <v>100</v>
      </c>
      <c r="AN21" s="4">
        <v>100</v>
      </c>
      <c r="AO21" s="4">
        <v>100</v>
      </c>
      <c r="AP21" s="4">
        <v>100</v>
      </c>
      <c r="AQ21" s="4">
        <v>100</v>
      </c>
      <c r="AR21" s="4">
        <v>100</v>
      </c>
      <c r="AS21" s="4">
        <v>100</v>
      </c>
      <c r="AT21" s="4">
        <v>66</v>
      </c>
      <c r="AU21" s="4">
        <v>9</v>
      </c>
      <c r="AV21" s="5">
        <f t="shared" si="0"/>
        <v>89.245454545454535</v>
      </c>
      <c r="AW21" s="4">
        <v>46</v>
      </c>
      <c r="AX21" s="5">
        <f t="shared" si="1"/>
        <v>71.947272727272718</v>
      </c>
    </row>
    <row r="22" spans="1:50" ht="15.75" customHeight="1">
      <c r="A22" s="1">
        <v>24</v>
      </c>
      <c r="B22" s="4">
        <v>100</v>
      </c>
      <c r="C22" s="4">
        <v>100</v>
      </c>
      <c r="D22" s="4">
        <v>100</v>
      </c>
      <c r="E22" s="4">
        <v>100</v>
      </c>
      <c r="F22" s="4">
        <v>100</v>
      </c>
      <c r="G22" s="4">
        <v>100</v>
      </c>
      <c r="H22" s="4">
        <v>100</v>
      </c>
      <c r="I22" s="4">
        <v>100</v>
      </c>
      <c r="J22" s="4">
        <v>100</v>
      </c>
      <c r="K22" s="4">
        <v>100</v>
      </c>
      <c r="L22" s="4">
        <v>100</v>
      </c>
      <c r="M22" s="4">
        <v>100</v>
      </c>
      <c r="N22" s="4">
        <v>100</v>
      </c>
      <c r="O22" s="4">
        <v>100</v>
      </c>
      <c r="P22" s="4">
        <v>100</v>
      </c>
      <c r="Q22" s="4">
        <v>100</v>
      </c>
      <c r="R22" s="4">
        <v>100</v>
      </c>
      <c r="S22" s="4">
        <v>100</v>
      </c>
      <c r="T22" s="4">
        <v>100</v>
      </c>
      <c r="U22" s="4">
        <v>100</v>
      </c>
      <c r="V22" s="4">
        <v>100</v>
      </c>
      <c r="W22" s="4">
        <v>100</v>
      </c>
      <c r="X22" s="4">
        <v>100</v>
      </c>
      <c r="Y22" s="4">
        <v>100</v>
      </c>
      <c r="Z22" s="4">
        <v>100</v>
      </c>
      <c r="AA22" s="4">
        <v>100</v>
      </c>
      <c r="AB22" s="4">
        <v>100</v>
      </c>
      <c r="AC22" s="4">
        <v>100</v>
      </c>
      <c r="AD22" s="4">
        <v>100</v>
      </c>
      <c r="AE22" s="4">
        <v>100</v>
      </c>
      <c r="AF22" s="4">
        <v>100</v>
      </c>
      <c r="AG22" s="4">
        <v>100</v>
      </c>
      <c r="AH22" s="4">
        <v>100</v>
      </c>
      <c r="AI22" s="4">
        <v>100</v>
      </c>
      <c r="AJ22" s="4">
        <v>100</v>
      </c>
      <c r="AK22" s="4">
        <v>100</v>
      </c>
      <c r="AL22" s="4">
        <v>100</v>
      </c>
      <c r="AM22" s="4">
        <v>100</v>
      </c>
      <c r="AN22" s="4">
        <v>100</v>
      </c>
      <c r="AO22" s="4">
        <v>100</v>
      </c>
      <c r="AP22" s="4">
        <v>100</v>
      </c>
      <c r="AQ22" s="4">
        <v>100</v>
      </c>
      <c r="AR22" s="4">
        <v>100</v>
      </c>
      <c r="AS22" s="4">
        <v>100</v>
      </c>
      <c r="AT22" s="4">
        <v>83</v>
      </c>
      <c r="AU22" s="4">
        <v>2</v>
      </c>
      <c r="AV22" s="5">
        <f t="shared" si="0"/>
        <v>94.01111111111112</v>
      </c>
      <c r="AW22" s="4">
        <v>95</v>
      </c>
      <c r="AX22" s="5">
        <f t="shared" si="1"/>
        <v>94.406666666666666</v>
      </c>
    </row>
    <row r="23" spans="1:50" ht="15.75" customHeight="1">
      <c r="A23" s="1">
        <v>25</v>
      </c>
      <c r="B23" s="4">
        <v>100</v>
      </c>
      <c r="C23" s="4">
        <v>100</v>
      </c>
      <c r="D23" s="4">
        <v>100</v>
      </c>
      <c r="E23" s="4">
        <v>100</v>
      </c>
      <c r="F23" s="4">
        <v>100</v>
      </c>
      <c r="G23" s="4">
        <v>100</v>
      </c>
      <c r="H23" s="4">
        <v>100</v>
      </c>
      <c r="I23" s="4">
        <v>100</v>
      </c>
      <c r="J23" s="4">
        <v>100</v>
      </c>
      <c r="K23" s="4">
        <v>100</v>
      </c>
      <c r="L23" s="4">
        <v>100</v>
      </c>
      <c r="M23" s="4">
        <v>100</v>
      </c>
      <c r="N23" s="4">
        <v>100</v>
      </c>
      <c r="O23" s="4">
        <v>100</v>
      </c>
      <c r="P23" s="4">
        <v>100</v>
      </c>
      <c r="Q23" s="4">
        <v>100</v>
      </c>
      <c r="R23" s="4">
        <v>100</v>
      </c>
      <c r="S23" s="4">
        <v>100</v>
      </c>
      <c r="T23" s="4">
        <v>100</v>
      </c>
      <c r="U23" s="4">
        <v>100</v>
      </c>
      <c r="V23" s="4">
        <v>100</v>
      </c>
      <c r="W23" s="4">
        <v>100</v>
      </c>
      <c r="X23" s="4">
        <v>100</v>
      </c>
      <c r="Y23" s="4">
        <v>100</v>
      </c>
      <c r="Z23" s="4">
        <v>100</v>
      </c>
      <c r="AA23" s="4">
        <v>100</v>
      </c>
      <c r="AB23" s="4">
        <v>100</v>
      </c>
      <c r="AC23" s="4">
        <v>100</v>
      </c>
      <c r="AD23" s="4">
        <v>100</v>
      </c>
      <c r="AE23" s="4">
        <v>100</v>
      </c>
      <c r="AF23" s="4">
        <v>100</v>
      </c>
      <c r="AG23" s="4">
        <v>100</v>
      </c>
      <c r="AH23" s="4">
        <v>100</v>
      </c>
      <c r="AI23" s="4">
        <v>100</v>
      </c>
      <c r="AJ23" s="4">
        <v>100</v>
      </c>
      <c r="AK23" s="4">
        <v>100</v>
      </c>
      <c r="AL23" s="4">
        <v>100</v>
      </c>
      <c r="AM23" s="4">
        <v>100</v>
      </c>
      <c r="AN23" s="4">
        <v>100</v>
      </c>
      <c r="AO23" s="4">
        <v>100</v>
      </c>
      <c r="AP23" s="4">
        <v>100</v>
      </c>
      <c r="AQ23" s="4">
        <v>100</v>
      </c>
      <c r="AR23" s="4">
        <v>100</v>
      </c>
      <c r="AS23" s="4">
        <v>100</v>
      </c>
      <c r="AT23" s="4">
        <v>92</v>
      </c>
      <c r="AU23" s="4">
        <v>3</v>
      </c>
      <c r="AV23" s="5">
        <f t="shared" si="0"/>
        <v>96.766666666666666</v>
      </c>
      <c r="AW23" s="4">
        <v>91</v>
      </c>
      <c r="AX23" s="5">
        <f t="shared" si="1"/>
        <v>94.46</v>
      </c>
    </row>
    <row r="24" spans="1:50" ht="15.75" customHeight="1">
      <c r="A24" s="1">
        <v>26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  <c r="N24" s="4">
        <v>100</v>
      </c>
      <c r="O24" s="4">
        <v>100</v>
      </c>
      <c r="P24" s="4">
        <v>100</v>
      </c>
      <c r="Q24" s="4">
        <v>100</v>
      </c>
      <c r="R24" s="4">
        <v>100</v>
      </c>
      <c r="S24" s="4">
        <v>100</v>
      </c>
      <c r="T24" s="4">
        <v>100</v>
      </c>
      <c r="U24" s="4">
        <v>100</v>
      </c>
      <c r="V24" s="4">
        <v>100</v>
      </c>
      <c r="W24" s="4">
        <v>100</v>
      </c>
      <c r="X24" s="4">
        <v>100</v>
      </c>
      <c r="Y24" s="4">
        <v>100</v>
      </c>
      <c r="Z24" s="4">
        <v>100</v>
      </c>
      <c r="AA24" s="4">
        <v>100</v>
      </c>
      <c r="AB24" s="4">
        <v>100</v>
      </c>
      <c r="AC24" s="4">
        <v>100</v>
      </c>
      <c r="AD24" s="4">
        <v>100</v>
      </c>
      <c r="AE24" s="4">
        <v>100</v>
      </c>
      <c r="AF24" s="4">
        <v>100</v>
      </c>
      <c r="AG24" s="4">
        <v>100</v>
      </c>
      <c r="AH24" s="4">
        <v>100</v>
      </c>
      <c r="AI24" s="4">
        <v>100</v>
      </c>
      <c r="AJ24" s="4">
        <v>100</v>
      </c>
      <c r="AK24" s="4">
        <v>100</v>
      </c>
      <c r="AL24" s="4">
        <v>100</v>
      </c>
      <c r="AM24" s="4">
        <v>100</v>
      </c>
      <c r="AN24" s="4">
        <v>100</v>
      </c>
      <c r="AO24" s="4">
        <v>100</v>
      </c>
      <c r="AP24" s="4">
        <v>98</v>
      </c>
      <c r="AQ24" s="4">
        <v>100</v>
      </c>
      <c r="AR24" s="4">
        <v>100</v>
      </c>
      <c r="AS24" s="4">
        <v>100</v>
      </c>
      <c r="AT24" s="4">
        <v>89</v>
      </c>
      <c r="AU24" s="4">
        <v>3</v>
      </c>
      <c r="AV24" s="5">
        <f t="shared" si="0"/>
        <v>95.839393939393943</v>
      </c>
      <c r="AW24" s="4">
        <v>83</v>
      </c>
      <c r="AX24" s="5">
        <f t="shared" si="1"/>
        <v>90.703636363636377</v>
      </c>
    </row>
    <row r="25" spans="1:50" ht="15.75" customHeight="1">
      <c r="A25" s="1">
        <v>27</v>
      </c>
      <c r="B25" s="4">
        <v>100</v>
      </c>
      <c r="C25" s="4">
        <v>100</v>
      </c>
      <c r="D25" s="4">
        <v>100</v>
      </c>
      <c r="E25" s="4">
        <v>100</v>
      </c>
      <c r="F25" s="4">
        <v>100</v>
      </c>
      <c r="G25" s="4">
        <v>100</v>
      </c>
      <c r="H25" s="4">
        <v>100</v>
      </c>
      <c r="I25" s="4">
        <v>100</v>
      </c>
      <c r="J25" s="4">
        <v>100</v>
      </c>
      <c r="K25" s="4">
        <v>100</v>
      </c>
      <c r="L25" s="4">
        <v>100</v>
      </c>
      <c r="M25" s="4">
        <v>100</v>
      </c>
      <c r="N25" s="4">
        <v>100</v>
      </c>
      <c r="O25" s="4">
        <v>100</v>
      </c>
      <c r="P25" s="4">
        <v>100</v>
      </c>
      <c r="Q25" s="4">
        <v>100</v>
      </c>
      <c r="R25" s="4">
        <v>100</v>
      </c>
      <c r="S25" s="4">
        <v>100</v>
      </c>
      <c r="T25" s="4">
        <v>100</v>
      </c>
      <c r="U25" s="4">
        <v>100</v>
      </c>
      <c r="V25" s="4">
        <v>100</v>
      </c>
      <c r="W25" s="4">
        <v>100</v>
      </c>
      <c r="X25" s="4">
        <v>100</v>
      </c>
      <c r="Y25" s="4">
        <v>100</v>
      </c>
      <c r="Z25" s="4">
        <v>100</v>
      </c>
      <c r="AA25" s="4">
        <v>100</v>
      </c>
      <c r="AB25" s="4">
        <v>100</v>
      </c>
      <c r="AC25" s="4">
        <v>100</v>
      </c>
      <c r="AD25" s="4">
        <v>100</v>
      </c>
      <c r="AE25" s="4">
        <v>100</v>
      </c>
      <c r="AF25" s="4">
        <v>100</v>
      </c>
      <c r="AG25" s="4">
        <v>100</v>
      </c>
      <c r="AH25" s="4">
        <v>100</v>
      </c>
      <c r="AI25" s="4">
        <v>100</v>
      </c>
      <c r="AJ25" s="4">
        <v>100</v>
      </c>
      <c r="AK25" s="4">
        <v>100</v>
      </c>
      <c r="AL25" s="4">
        <v>96</v>
      </c>
      <c r="AM25" s="4">
        <v>100</v>
      </c>
      <c r="AN25" s="4">
        <v>100</v>
      </c>
      <c r="AO25" s="4">
        <v>100</v>
      </c>
      <c r="AP25" s="4">
        <v>100</v>
      </c>
      <c r="AQ25" s="4">
        <v>100</v>
      </c>
      <c r="AR25" s="4">
        <v>100</v>
      </c>
      <c r="AS25" s="4">
        <v>100</v>
      </c>
      <c r="AT25" s="4">
        <v>86</v>
      </c>
      <c r="AU25" s="4">
        <v>0</v>
      </c>
      <c r="AV25" s="5">
        <f t="shared" si="0"/>
        <v>94.745454545454535</v>
      </c>
      <c r="AW25" s="4">
        <v>95</v>
      </c>
      <c r="AX25" s="5">
        <f t="shared" si="1"/>
        <v>94.847272727272724</v>
      </c>
    </row>
    <row r="26" spans="1:50" ht="15.75" customHeight="1">
      <c r="A26" s="1">
        <v>28</v>
      </c>
      <c r="B26" s="4">
        <v>100</v>
      </c>
      <c r="C26" s="4">
        <v>100</v>
      </c>
      <c r="D26" s="4">
        <v>100</v>
      </c>
      <c r="E26" s="4">
        <v>100</v>
      </c>
      <c r="F26" s="4">
        <v>100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100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100</v>
      </c>
      <c r="AF26" s="4">
        <v>100</v>
      </c>
      <c r="AG26" s="4">
        <v>100</v>
      </c>
      <c r="AH26" s="4">
        <v>100</v>
      </c>
      <c r="AI26" s="4">
        <v>100</v>
      </c>
      <c r="AJ26" s="4">
        <v>100</v>
      </c>
      <c r="AK26" s="4">
        <v>100</v>
      </c>
      <c r="AL26" s="4">
        <v>100</v>
      </c>
      <c r="AM26" s="4">
        <v>100</v>
      </c>
      <c r="AN26" s="4">
        <v>100</v>
      </c>
      <c r="AO26" s="4">
        <v>100</v>
      </c>
      <c r="AP26" s="4">
        <v>100</v>
      </c>
      <c r="AQ26" s="4">
        <v>100</v>
      </c>
      <c r="AR26" s="4">
        <v>100</v>
      </c>
      <c r="AS26" s="4">
        <v>100</v>
      </c>
      <c r="AT26" s="4">
        <v>78</v>
      </c>
      <c r="AU26" s="4">
        <v>4</v>
      </c>
      <c r="AV26" s="5">
        <f t="shared" si="0"/>
        <v>92.622222222222234</v>
      </c>
      <c r="AW26" s="4">
        <v>90</v>
      </c>
      <c r="AX26" s="5">
        <f t="shared" si="1"/>
        <v>91.573333333333338</v>
      </c>
    </row>
    <row r="27" spans="1:50" ht="15.75" customHeight="1">
      <c r="A27" s="1">
        <v>29</v>
      </c>
      <c r="B27" s="4">
        <v>100</v>
      </c>
      <c r="C27" s="4">
        <v>100</v>
      </c>
      <c r="D27" s="4">
        <v>100</v>
      </c>
      <c r="E27" s="4">
        <v>100</v>
      </c>
      <c r="F27" s="4">
        <v>100</v>
      </c>
      <c r="G27" s="4">
        <v>100</v>
      </c>
      <c r="H27" s="4">
        <v>100</v>
      </c>
      <c r="I27" s="4">
        <v>100</v>
      </c>
      <c r="J27" s="4">
        <v>100</v>
      </c>
      <c r="K27" s="4">
        <v>100</v>
      </c>
      <c r="L27" s="4">
        <v>100</v>
      </c>
      <c r="M27" s="4">
        <v>100</v>
      </c>
      <c r="N27" s="4">
        <v>100</v>
      </c>
      <c r="O27" s="4">
        <v>100</v>
      </c>
      <c r="P27" s="4">
        <v>100</v>
      </c>
      <c r="Q27" s="4">
        <v>100</v>
      </c>
      <c r="R27" s="4">
        <v>100</v>
      </c>
      <c r="S27" s="4">
        <v>100</v>
      </c>
      <c r="T27" s="4">
        <v>100</v>
      </c>
      <c r="U27" s="4">
        <v>100</v>
      </c>
      <c r="V27" s="4">
        <v>100</v>
      </c>
      <c r="W27" s="4">
        <v>100</v>
      </c>
      <c r="X27" s="4">
        <v>100</v>
      </c>
      <c r="Y27" s="4">
        <v>100</v>
      </c>
      <c r="Z27" s="4">
        <v>100</v>
      </c>
      <c r="AA27" s="4">
        <v>100</v>
      </c>
      <c r="AB27" s="4">
        <v>100</v>
      </c>
      <c r="AC27" s="4">
        <v>100</v>
      </c>
      <c r="AD27" s="4">
        <v>100</v>
      </c>
      <c r="AE27" s="4">
        <v>100</v>
      </c>
      <c r="AF27" s="4">
        <v>100</v>
      </c>
      <c r="AG27" s="4">
        <v>100</v>
      </c>
      <c r="AH27" s="4">
        <v>100</v>
      </c>
      <c r="AI27" s="4">
        <v>100</v>
      </c>
      <c r="AJ27" s="4">
        <v>100</v>
      </c>
      <c r="AK27" s="4">
        <v>100</v>
      </c>
      <c r="AL27" s="4">
        <v>100</v>
      </c>
      <c r="AM27" s="4">
        <v>100</v>
      </c>
      <c r="AN27" s="4">
        <v>100</v>
      </c>
      <c r="AO27" s="4">
        <v>100</v>
      </c>
      <c r="AP27" s="4">
        <v>100</v>
      </c>
      <c r="AQ27" s="4">
        <v>100</v>
      </c>
      <c r="AR27" s="4">
        <v>100</v>
      </c>
      <c r="AS27" s="4">
        <v>100</v>
      </c>
      <c r="AT27" s="4">
        <v>50</v>
      </c>
      <c r="AU27" s="4">
        <v>8</v>
      </c>
      <c r="AV27" s="5">
        <f t="shared" si="0"/>
        <v>84.444444444444443</v>
      </c>
      <c r="AW27" s="4">
        <v>47</v>
      </c>
      <c r="AX27" s="5">
        <f t="shared" si="1"/>
        <v>69.466666666666669</v>
      </c>
    </row>
    <row r="28" spans="1:50" ht="15.75" customHeight="1">
      <c r="A28" s="1">
        <v>30</v>
      </c>
      <c r="B28" s="4">
        <v>100</v>
      </c>
      <c r="C28" s="4">
        <v>100</v>
      </c>
      <c r="D28" s="4">
        <v>100</v>
      </c>
      <c r="E28" s="4">
        <v>100</v>
      </c>
      <c r="F28" s="4">
        <v>100</v>
      </c>
      <c r="G28" s="4">
        <v>100</v>
      </c>
      <c r="H28" s="4">
        <v>100</v>
      </c>
      <c r="I28" s="4">
        <v>100</v>
      </c>
      <c r="J28" s="4">
        <v>100</v>
      </c>
      <c r="K28" s="4">
        <v>100</v>
      </c>
      <c r="L28" s="4">
        <v>100</v>
      </c>
      <c r="M28" s="4">
        <v>100</v>
      </c>
      <c r="N28" s="4">
        <v>100</v>
      </c>
      <c r="O28" s="4">
        <v>100</v>
      </c>
      <c r="P28" s="4">
        <v>100</v>
      </c>
      <c r="Q28" s="4">
        <v>100</v>
      </c>
      <c r="R28" s="4">
        <v>100</v>
      </c>
      <c r="S28" s="4">
        <v>100</v>
      </c>
      <c r="T28" s="4">
        <v>100</v>
      </c>
      <c r="U28" s="4">
        <v>100</v>
      </c>
      <c r="V28" s="4">
        <v>100</v>
      </c>
      <c r="W28" s="4">
        <v>100</v>
      </c>
      <c r="X28" s="4">
        <v>100</v>
      </c>
      <c r="Y28" s="4">
        <v>100</v>
      </c>
      <c r="Z28" s="4">
        <v>100</v>
      </c>
      <c r="AA28" s="4">
        <v>100</v>
      </c>
      <c r="AB28" s="4">
        <v>100</v>
      </c>
      <c r="AC28" s="4">
        <v>100</v>
      </c>
      <c r="AD28" s="4">
        <v>100</v>
      </c>
      <c r="AE28" s="4">
        <v>100</v>
      </c>
      <c r="AF28" s="4">
        <v>100</v>
      </c>
      <c r="AG28" s="4">
        <v>100</v>
      </c>
      <c r="AH28" s="4">
        <v>100</v>
      </c>
      <c r="AI28" s="4">
        <v>100</v>
      </c>
      <c r="AJ28" s="4">
        <v>100</v>
      </c>
      <c r="AK28" s="4">
        <v>100</v>
      </c>
      <c r="AL28" s="4">
        <v>100</v>
      </c>
      <c r="AM28" s="4">
        <v>100</v>
      </c>
      <c r="AN28" s="4">
        <v>100</v>
      </c>
      <c r="AO28" s="4">
        <v>100</v>
      </c>
      <c r="AP28" s="4">
        <v>100</v>
      </c>
      <c r="AQ28" s="4">
        <v>100</v>
      </c>
      <c r="AR28" s="4">
        <v>100</v>
      </c>
      <c r="AS28" s="4">
        <v>100</v>
      </c>
      <c r="AT28" s="4">
        <v>87</v>
      </c>
      <c r="AU28" s="4">
        <v>2</v>
      </c>
      <c r="AV28" s="5">
        <f t="shared" si="0"/>
        <v>95.211111111111109</v>
      </c>
      <c r="AW28" s="4">
        <v>91</v>
      </c>
      <c r="AX28" s="5">
        <f t="shared" si="1"/>
        <v>93.526666666666671</v>
      </c>
    </row>
    <row r="29" spans="1:50" ht="15.75" customHeight="1">
      <c r="AW29">
        <f>AVERAGE(AW2:AW28)</f>
        <v>80.703703703703709</v>
      </c>
    </row>
    <row r="30" spans="1:50" ht="15.75" customHeight="1"/>
    <row r="31" spans="1:50" ht="15.75" customHeight="1"/>
    <row r="32" spans="1:5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honeticPr fontId="3" type="noConversion"/>
  <conditionalFormatting sqref="B2:AS28">
    <cfRule type="cellIs" dxfId="2" priority="1" operator="lessThan">
      <formula>100</formula>
    </cfRule>
  </conditionalFormatting>
  <conditionalFormatting sqref="AX2:AX28">
    <cfRule type="cellIs" dxfId="1" priority="2" operator="lessThan">
      <formula>80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D0BC-0C12-41EE-9095-2307569D6562}">
  <dimension ref="B1:F9"/>
  <sheetViews>
    <sheetView topLeftCell="B1" zoomScale="243" zoomScaleNormal="243" workbookViewId="0">
      <selection activeCell="B1" sqref="B1:F9"/>
    </sheetView>
  </sheetViews>
  <sheetFormatPr defaultRowHeight="15.6"/>
  <cols>
    <col min="1" max="1" width="0" hidden="1" customWidth="1"/>
  </cols>
  <sheetData>
    <row r="1" spans="2:6">
      <c r="B1" s="10" t="s">
        <v>76</v>
      </c>
      <c r="C1" s="11"/>
      <c r="D1" s="4"/>
      <c r="E1" s="10" t="s">
        <v>78</v>
      </c>
      <c r="F1" s="11"/>
    </row>
    <row r="2" spans="2:6">
      <c r="B2" s="7" t="s">
        <v>67</v>
      </c>
      <c r="C2" s="7" t="s">
        <v>68</v>
      </c>
      <c r="D2" s="4"/>
      <c r="E2" s="7" t="s">
        <v>67</v>
      </c>
      <c r="F2" s="7" t="s">
        <v>68</v>
      </c>
    </row>
    <row r="3" spans="2:6">
      <c r="B3" s="8" t="s">
        <v>69</v>
      </c>
      <c r="C3" s="8">
        <v>11</v>
      </c>
      <c r="D3" s="4"/>
      <c r="E3" s="8" t="s">
        <v>77</v>
      </c>
      <c r="F3" s="8">
        <v>2</v>
      </c>
    </row>
    <row r="4" spans="2:6">
      <c r="B4" s="8" t="s">
        <v>70</v>
      </c>
      <c r="C4" s="8">
        <v>7</v>
      </c>
      <c r="D4" s="4"/>
      <c r="E4" s="8" t="s">
        <v>69</v>
      </c>
      <c r="F4" s="8">
        <v>20</v>
      </c>
    </row>
    <row r="5" spans="2:6">
      <c r="B5" s="8" t="s">
        <v>71</v>
      </c>
      <c r="C5" s="8">
        <v>4</v>
      </c>
      <c r="D5" s="4"/>
      <c r="E5" s="8" t="s">
        <v>70</v>
      </c>
      <c r="F5" s="8">
        <v>3</v>
      </c>
    </row>
    <row r="6" spans="2:6">
      <c r="B6" s="8" t="s">
        <v>72</v>
      </c>
      <c r="C6" s="8">
        <v>3</v>
      </c>
      <c r="D6" s="4"/>
      <c r="E6" s="8" t="s">
        <v>71</v>
      </c>
      <c r="F6" s="8">
        <v>2</v>
      </c>
    </row>
    <row r="7" spans="2:6">
      <c r="B7" s="8" t="s">
        <v>73</v>
      </c>
      <c r="C7" s="8">
        <v>1</v>
      </c>
      <c r="D7" s="4"/>
      <c r="E7" s="8" t="s">
        <v>72</v>
      </c>
      <c r="F7" s="8">
        <v>1</v>
      </c>
    </row>
    <row r="8" spans="2:6">
      <c r="B8" s="8" t="s">
        <v>74</v>
      </c>
      <c r="C8" s="8">
        <v>2</v>
      </c>
      <c r="D8" s="4"/>
      <c r="E8" s="8" t="s">
        <v>73</v>
      </c>
      <c r="F8" s="8">
        <v>1</v>
      </c>
    </row>
    <row r="9" spans="2:6">
      <c r="B9" s="9" t="s">
        <v>75</v>
      </c>
      <c r="C9" s="8">
        <v>81.180000000000007</v>
      </c>
      <c r="D9" s="4"/>
      <c r="E9" s="9" t="s">
        <v>75</v>
      </c>
      <c r="F9" s="8">
        <v>90.03</v>
      </c>
    </row>
  </sheetData>
  <mergeCells count="2">
    <mergeCell ref="B1:C1"/>
    <mergeCell ref="E1:F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FCE8-7A8C-47E7-AFEE-A6C17D3DAF54}">
  <dimension ref="A1:V30"/>
  <sheetViews>
    <sheetView workbookViewId="0">
      <selection activeCell="B15" sqref="B1:B1048576"/>
    </sheetView>
  </sheetViews>
  <sheetFormatPr defaultRowHeight="15.6"/>
  <cols>
    <col min="1" max="1" width="5.3984375" bestFit="1" customWidth="1"/>
    <col min="2" max="14" width="4.3984375" customWidth="1"/>
    <col min="15" max="15" width="6.3984375" customWidth="1"/>
    <col min="16" max="18" width="4.3984375" customWidth="1"/>
    <col min="19" max="19" width="5.3984375" customWidth="1"/>
    <col min="20" max="21" width="7.69921875" bestFit="1" customWidth="1"/>
    <col min="22" max="22" width="5.3984375" bestFit="1" customWidth="1"/>
  </cols>
  <sheetData>
    <row r="1" spans="1:22" ht="16.2">
      <c r="A1" s="1" t="s">
        <v>0</v>
      </c>
      <c r="B1" s="2" t="s">
        <v>2</v>
      </c>
      <c r="C1" s="2" t="s">
        <v>1</v>
      </c>
      <c r="D1" s="2" t="s">
        <v>11</v>
      </c>
      <c r="E1" s="2" t="s">
        <v>12</v>
      </c>
      <c r="F1" s="2" t="s">
        <v>13</v>
      </c>
      <c r="G1" s="2" t="s">
        <v>15</v>
      </c>
      <c r="H1" s="2" t="s">
        <v>17</v>
      </c>
      <c r="I1" s="2" t="s">
        <v>14</v>
      </c>
      <c r="J1" s="2" t="s">
        <v>3</v>
      </c>
      <c r="K1" s="2" t="s">
        <v>18</v>
      </c>
      <c r="L1" s="2" t="s">
        <v>19</v>
      </c>
      <c r="M1" s="2" t="s">
        <v>21</v>
      </c>
      <c r="N1" s="2" t="s">
        <v>16</v>
      </c>
      <c r="O1" s="2" t="s">
        <v>20</v>
      </c>
      <c r="P1" s="2" t="s">
        <v>4</v>
      </c>
      <c r="Q1" s="2" t="s">
        <v>5</v>
      </c>
      <c r="R1" s="2" t="s">
        <v>6</v>
      </c>
      <c r="S1" s="3" t="s">
        <v>7</v>
      </c>
      <c r="T1" s="3" t="s">
        <v>8</v>
      </c>
      <c r="U1" s="3" t="s">
        <v>9</v>
      </c>
      <c r="V1" s="3" t="s">
        <v>10</v>
      </c>
    </row>
    <row r="2" spans="1:22" ht="16.2">
      <c r="A2" s="1">
        <v>1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100</v>
      </c>
      <c r="M2" s="4">
        <v>100</v>
      </c>
      <c r="N2" s="4">
        <v>100</v>
      </c>
      <c r="O2" s="4">
        <v>100</v>
      </c>
      <c r="P2" s="4">
        <v>100</v>
      </c>
      <c r="Q2" s="4">
        <v>91</v>
      </c>
      <c r="R2" s="4">
        <v>85</v>
      </c>
      <c r="S2" s="4">
        <v>7</v>
      </c>
      <c r="T2" s="5">
        <f t="shared" ref="T2:T29" si="0">AVERAGE(B2:O2)*0.6+AVERAGE(P2:R2)*0.3+((S2-MIN($S$2:$S$29))/(MAX($S$2:$S$29)-MIN($S$2:$S$29))*10+90)*0.1</f>
        <v>96.724999999999994</v>
      </c>
      <c r="U2" s="4">
        <v>98</v>
      </c>
      <c r="V2" s="5">
        <f>T2*0.6+U2*0.4</f>
        <v>97.234999999999999</v>
      </c>
    </row>
    <row r="3" spans="1:22" ht="16.2">
      <c r="A3" s="1">
        <v>2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 s="4">
        <v>75</v>
      </c>
      <c r="Q3" s="4">
        <v>95</v>
      </c>
      <c r="R3" s="4">
        <v>88</v>
      </c>
      <c r="S3" s="4">
        <v>8</v>
      </c>
      <c r="T3" s="5">
        <f t="shared" si="0"/>
        <v>95.05</v>
      </c>
      <c r="U3" s="4">
        <v>93</v>
      </c>
      <c r="V3" s="5">
        <f t="shared" ref="V3:V29" si="1">T3*0.6+U3*0.4</f>
        <v>94.22999999999999</v>
      </c>
    </row>
    <row r="4" spans="1:22" ht="16.2">
      <c r="A4" s="1">
        <v>3</v>
      </c>
      <c r="B4" s="4">
        <v>100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  <c r="M4" s="4">
        <v>100</v>
      </c>
      <c r="N4" s="4">
        <v>100</v>
      </c>
      <c r="O4" s="4">
        <v>100</v>
      </c>
      <c r="P4" s="4">
        <v>98</v>
      </c>
      <c r="Q4" s="4">
        <v>100</v>
      </c>
      <c r="R4" s="4">
        <v>97</v>
      </c>
      <c r="S4" s="4">
        <v>9</v>
      </c>
      <c r="T4" s="5">
        <f t="shared" si="0"/>
        <v>98.875</v>
      </c>
      <c r="U4" s="4">
        <v>95</v>
      </c>
      <c r="V4" s="5">
        <f t="shared" si="1"/>
        <v>97.324999999999989</v>
      </c>
    </row>
    <row r="5" spans="1:22" ht="16.2">
      <c r="A5" s="1">
        <v>4</v>
      </c>
      <c r="B5" s="4">
        <v>100</v>
      </c>
      <c r="C5" s="4">
        <v>100</v>
      </c>
      <c r="D5" s="4">
        <v>100</v>
      </c>
      <c r="E5" s="4">
        <v>100</v>
      </c>
      <c r="F5" s="4">
        <v>100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 s="4">
        <v>87</v>
      </c>
      <c r="Q5" s="4">
        <v>86</v>
      </c>
      <c r="R5" s="4">
        <v>90</v>
      </c>
      <c r="S5" s="4">
        <v>7</v>
      </c>
      <c r="T5" s="5">
        <f t="shared" si="0"/>
        <v>95.424999999999997</v>
      </c>
      <c r="U5" s="4">
        <v>92</v>
      </c>
      <c r="V5" s="5">
        <f t="shared" si="1"/>
        <v>94.055000000000007</v>
      </c>
    </row>
    <row r="6" spans="1:22" ht="16.2">
      <c r="A6" s="1">
        <v>5</v>
      </c>
      <c r="B6" s="4">
        <v>100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87</v>
      </c>
      <c r="Q6" s="4">
        <v>87</v>
      </c>
      <c r="R6" s="4">
        <v>85</v>
      </c>
      <c r="S6" s="4">
        <v>11</v>
      </c>
      <c r="T6" s="5">
        <f t="shared" si="0"/>
        <v>95.525000000000006</v>
      </c>
      <c r="U6" s="4">
        <v>87</v>
      </c>
      <c r="V6" s="5">
        <f t="shared" si="1"/>
        <v>92.115000000000009</v>
      </c>
    </row>
    <row r="7" spans="1:22" ht="16.2">
      <c r="A7" s="1">
        <v>7</v>
      </c>
      <c r="B7" s="4">
        <v>100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  <c r="K7" s="4">
        <v>100</v>
      </c>
      <c r="L7" s="4">
        <v>100</v>
      </c>
      <c r="M7" s="4">
        <v>100</v>
      </c>
      <c r="N7" s="4">
        <v>100</v>
      </c>
      <c r="O7" s="4">
        <v>100</v>
      </c>
      <c r="P7" s="4">
        <v>90</v>
      </c>
      <c r="Q7" s="4">
        <v>88</v>
      </c>
      <c r="R7" s="4">
        <v>93</v>
      </c>
      <c r="S7" s="4">
        <v>7</v>
      </c>
      <c r="T7" s="5">
        <f t="shared" si="0"/>
        <v>96.224999999999994</v>
      </c>
      <c r="U7" s="4">
        <v>91</v>
      </c>
      <c r="V7" s="5">
        <f t="shared" si="1"/>
        <v>94.134999999999991</v>
      </c>
    </row>
    <row r="8" spans="1:22" ht="16.2">
      <c r="A8" s="1">
        <v>8</v>
      </c>
      <c r="B8" s="4">
        <v>100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  <c r="K8" s="4">
        <v>100</v>
      </c>
      <c r="L8" s="4">
        <v>100</v>
      </c>
      <c r="M8" s="4">
        <v>100</v>
      </c>
      <c r="N8" s="4">
        <v>100</v>
      </c>
      <c r="O8" s="4">
        <v>100</v>
      </c>
      <c r="P8" s="4">
        <v>100</v>
      </c>
      <c r="Q8" s="4">
        <v>92</v>
      </c>
      <c r="R8" s="4">
        <v>90</v>
      </c>
      <c r="S8" s="4">
        <v>10</v>
      </c>
      <c r="T8" s="5">
        <f t="shared" si="0"/>
        <v>97.7</v>
      </c>
      <c r="U8" s="4">
        <v>91</v>
      </c>
      <c r="V8" s="5">
        <f t="shared" si="1"/>
        <v>95.02</v>
      </c>
    </row>
    <row r="9" spans="1:22" ht="16.2">
      <c r="A9" s="1">
        <v>9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  <c r="K9" s="4">
        <v>100</v>
      </c>
      <c r="L9" s="4">
        <v>100</v>
      </c>
      <c r="M9" s="4">
        <v>100</v>
      </c>
      <c r="N9" s="4">
        <v>100</v>
      </c>
      <c r="O9" s="4">
        <v>100</v>
      </c>
      <c r="P9" s="4">
        <v>97</v>
      </c>
      <c r="Q9" s="4">
        <v>94</v>
      </c>
      <c r="R9" s="4">
        <v>97</v>
      </c>
      <c r="S9" s="4">
        <v>10</v>
      </c>
      <c r="T9" s="5">
        <f t="shared" si="0"/>
        <v>98.3</v>
      </c>
      <c r="U9" s="4">
        <v>96</v>
      </c>
      <c r="V9" s="5">
        <f t="shared" si="1"/>
        <v>97.38</v>
      </c>
    </row>
    <row r="10" spans="1:22" ht="16.2">
      <c r="A10" s="1">
        <v>10</v>
      </c>
      <c r="B10" s="4">
        <v>100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  <c r="K10" s="4">
        <v>100</v>
      </c>
      <c r="L10" s="4">
        <v>100</v>
      </c>
      <c r="M10" s="4">
        <v>100</v>
      </c>
      <c r="N10" s="4">
        <v>100</v>
      </c>
      <c r="O10" s="4">
        <v>100</v>
      </c>
      <c r="P10" s="4">
        <v>93</v>
      </c>
      <c r="Q10" s="4">
        <v>95</v>
      </c>
      <c r="R10" s="4">
        <v>91</v>
      </c>
      <c r="S10" s="4">
        <v>8</v>
      </c>
      <c r="T10" s="5">
        <f t="shared" si="0"/>
        <v>97.15</v>
      </c>
      <c r="U10" s="4">
        <v>89</v>
      </c>
      <c r="V10" s="5">
        <f t="shared" si="1"/>
        <v>93.89</v>
      </c>
    </row>
    <row r="11" spans="1:22" ht="16.2">
      <c r="A11" s="1">
        <v>11</v>
      </c>
      <c r="B11" s="4">
        <v>100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  <c r="K11" s="4">
        <v>100</v>
      </c>
      <c r="L11" s="4">
        <v>100</v>
      </c>
      <c r="M11" s="4">
        <v>100</v>
      </c>
      <c r="N11" s="4">
        <v>100</v>
      </c>
      <c r="O11" s="4">
        <v>100</v>
      </c>
      <c r="P11" s="4">
        <v>90</v>
      </c>
      <c r="Q11" s="4">
        <v>98</v>
      </c>
      <c r="R11" s="4">
        <v>97</v>
      </c>
      <c r="S11" s="4">
        <v>12</v>
      </c>
      <c r="T11" s="5">
        <f t="shared" si="0"/>
        <v>98.25</v>
      </c>
      <c r="U11" s="4">
        <v>92</v>
      </c>
      <c r="V11" s="5">
        <f t="shared" si="1"/>
        <v>95.75</v>
      </c>
    </row>
    <row r="12" spans="1:22" ht="16.2">
      <c r="A12" s="1">
        <v>12</v>
      </c>
      <c r="B12" s="4">
        <v>100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  <c r="N12" s="4">
        <v>100</v>
      </c>
      <c r="O12" s="4">
        <v>100</v>
      </c>
      <c r="P12" s="4">
        <v>99</v>
      </c>
      <c r="Q12" s="4">
        <v>91</v>
      </c>
      <c r="R12" s="4">
        <v>92</v>
      </c>
      <c r="S12" s="4">
        <v>14</v>
      </c>
      <c r="T12" s="5">
        <f t="shared" si="0"/>
        <v>98.2</v>
      </c>
      <c r="U12" s="4">
        <v>93</v>
      </c>
      <c r="V12" s="5">
        <f t="shared" si="1"/>
        <v>96.12</v>
      </c>
    </row>
    <row r="13" spans="1:22" ht="16.2">
      <c r="A13" s="1">
        <v>13</v>
      </c>
      <c r="B13" s="4">
        <v>100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  <c r="K13" s="4">
        <v>100</v>
      </c>
      <c r="L13" s="4">
        <v>100</v>
      </c>
      <c r="M13" s="4">
        <v>100</v>
      </c>
      <c r="N13" s="4">
        <v>100</v>
      </c>
      <c r="O13" s="4">
        <v>100</v>
      </c>
      <c r="P13" s="4">
        <v>98</v>
      </c>
      <c r="Q13" s="4">
        <v>66</v>
      </c>
      <c r="R13" s="4">
        <v>95</v>
      </c>
      <c r="S13" s="4">
        <v>7</v>
      </c>
      <c r="T13" s="5">
        <f t="shared" si="0"/>
        <v>95.025000000000006</v>
      </c>
      <c r="U13" s="4">
        <v>95</v>
      </c>
      <c r="V13" s="5">
        <f t="shared" si="1"/>
        <v>95.015000000000001</v>
      </c>
    </row>
    <row r="14" spans="1:22" ht="16.2">
      <c r="A14" s="1">
        <v>14</v>
      </c>
      <c r="B14" s="4">
        <v>100</v>
      </c>
      <c r="C14" s="4">
        <v>100</v>
      </c>
      <c r="D14" s="4">
        <v>100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100</v>
      </c>
      <c r="P14" s="4">
        <v>97</v>
      </c>
      <c r="Q14" s="4">
        <v>98</v>
      </c>
      <c r="R14" s="4">
        <v>97</v>
      </c>
      <c r="S14" s="4">
        <v>8</v>
      </c>
      <c r="T14" s="5">
        <f t="shared" si="0"/>
        <v>98.449999999999989</v>
      </c>
      <c r="U14" s="4">
        <v>100</v>
      </c>
      <c r="V14" s="5">
        <f t="shared" si="1"/>
        <v>99.07</v>
      </c>
    </row>
    <row r="15" spans="1:22" ht="16.2">
      <c r="A15" s="1">
        <v>15</v>
      </c>
      <c r="B15" s="4">
        <v>100</v>
      </c>
      <c r="C15" s="4">
        <v>100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</v>
      </c>
      <c r="P15" s="4">
        <v>83</v>
      </c>
      <c r="Q15" s="4">
        <v>96</v>
      </c>
      <c r="R15" s="4">
        <v>94</v>
      </c>
      <c r="S15" s="4">
        <v>10</v>
      </c>
      <c r="T15" s="5">
        <f t="shared" si="0"/>
        <v>96.8</v>
      </c>
      <c r="U15" s="4">
        <v>96</v>
      </c>
      <c r="V15" s="5">
        <f t="shared" si="1"/>
        <v>96.48</v>
      </c>
    </row>
    <row r="16" spans="1:22" ht="16.2">
      <c r="A16" s="1">
        <v>16</v>
      </c>
      <c r="B16" s="4">
        <v>100</v>
      </c>
      <c r="C16" s="4">
        <v>100</v>
      </c>
      <c r="D16" s="4">
        <v>100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  <c r="N16" s="4">
        <v>100</v>
      </c>
      <c r="O16" s="4">
        <v>100</v>
      </c>
      <c r="P16" s="4">
        <v>97</v>
      </c>
      <c r="Q16" s="4">
        <v>95</v>
      </c>
      <c r="R16" s="4">
        <v>100</v>
      </c>
      <c r="S16" s="4">
        <v>6</v>
      </c>
      <c r="T16" s="5">
        <f t="shared" si="0"/>
        <v>98.199999999999989</v>
      </c>
      <c r="U16" s="4">
        <v>98</v>
      </c>
      <c r="V16" s="5">
        <f t="shared" si="1"/>
        <v>98.11999999999999</v>
      </c>
    </row>
    <row r="17" spans="1:22" ht="16.2">
      <c r="A17" s="1">
        <v>17</v>
      </c>
      <c r="B17" s="4">
        <v>100</v>
      </c>
      <c r="C17" s="4">
        <v>100</v>
      </c>
      <c r="D17" s="4">
        <v>100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100</v>
      </c>
      <c r="L17" s="4">
        <v>100</v>
      </c>
      <c r="M17" s="4">
        <v>100</v>
      </c>
      <c r="N17" s="4">
        <v>100</v>
      </c>
      <c r="O17" s="4">
        <v>100</v>
      </c>
      <c r="P17" s="4">
        <v>77</v>
      </c>
      <c r="Q17" s="4">
        <v>88</v>
      </c>
      <c r="R17" s="4">
        <v>73</v>
      </c>
      <c r="S17" s="4">
        <v>10</v>
      </c>
      <c r="T17" s="5">
        <f t="shared" si="0"/>
        <v>93.3</v>
      </c>
      <c r="U17" s="4">
        <v>78</v>
      </c>
      <c r="V17" s="5">
        <f t="shared" si="1"/>
        <v>87.18</v>
      </c>
    </row>
    <row r="18" spans="1:22" ht="16.2">
      <c r="A18" s="1">
        <v>18</v>
      </c>
      <c r="B18" s="4">
        <v>100</v>
      </c>
      <c r="C18" s="4">
        <v>100</v>
      </c>
      <c r="D18" s="4">
        <v>100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  <c r="N18" s="4">
        <v>100</v>
      </c>
      <c r="O18" s="4">
        <v>100</v>
      </c>
      <c r="P18" s="4">
        <v>97</v>
      </c>
      <c r="Q18" s="4">
        <v>96</v>
      </c>
      <c r="R18" s="4">
        <v>96</v>
      </c>
      <c r="S18" s="4">
        <v>8</v>
      </c>
      <c r="T18" s="5">
        <f t="shared" si="0"/>
        <v>98.15</v>
      </c>
      <c r="U18" s="4">
        <v>92</v>
      </c>
      <c r="V18" s="5">
        <f t="shared" si="1"/>
        <v>95.69</v>
      </c>
    </row>
    <row r="19" spans="1:22" ht="16.2">
      <c r="A19" s="1">
        <v>19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100</v>
      </c>
      <c r="L19" s="4">
        <v>100</v>
      </c>
      <c r="M19" s="4">
        <v>100</v>
      </c>
      <c r="N19" s="4">
        <v>100</v>
      </c>
      <c r="O19" s="4">
        <v>100</v>
      </c>
      <c r="P19" s="4">
        <v>100</v>
      </c>
      <c r="Q19" s="4">
        <v>88</v>
      </c>
      <c r="R19" s="4">
        <v>92</v>
      </c>
      <c r="S19" s="4">
        <v>6</v>
      </c>
      <c r="T19" s="5">
        <f t="shared" si="0"/>
        <v>97</v>
      </c>
      <c r="U19" s="4">
        <v>100</v>
      </c>
      <c r="V19" s="5">
        <f t="shared" si="1"/>
        <v>98.199999999999989</v>
      </c>
    </row>
    <row r="20" spans="1:22" ht="16.2">
      <c r="A20" s="1">
        <v>20</v>
      </c>
      <c r="B20" s="4">
        <v>100</v>
      </c>
      <c r="C20" s="4">
        <v>100</v>
      </c>
      <c r="D20" s="4">
        <v>100</v>
      </c>
      <c r="E20" s="4">
        <v>100</v>
      </c>
      <c r="F20" s="4">
        <v>100</v>
      </c>
      <c r="G20" s="4">
        <v>100</v>
      </c>
      <c r="H20" s="4">
        <v>100</v>
      </c>
      <c r="I20" s="4">
        <v>100</v>
      </c>
      <c r="J20" s="4">
        <v>100</v>
      </c>
      <c r="K20" s="4">
        <v>100</v>
      </c>
      <c r="L20" s="4">
        <v>100</v>
      </c>
      <c r="M20" s="4">
        <v>100</v>
      </c>
      <c r="N20" s="4">
        <v>100</v>
      </c>
      <c r="O20" s="4">
        <v>97</v>
      </c>
      <c r="P20" s="4">
        <v>85</v>
      </c>
      <c r="Q20" s="4">
        <v>92</v>
      </c>
      <c r="R20" s="4">
        <v>87</v>
      </c>
      <c r="S20" s="4">
        <v>6</v>
      </c>
      <c r="T20" s="5">
        <f t="shared" si="0"/>
        <v>95.271428571428572</v>
      </c>
      <c r="U20" s="4">
        <v>90</v>
      </c>
      <c r="V20" s="5">
        <f t="shared" si="1"/>
        <v>93.162857142857149</v>
      </c>
    </row>
    <row r="21" spans="1:22" ht="16.2">
      <c r="A21" s="1">
        <v>21</v>
      </c>
      <c r="B21" s="4">
        <v>100</v>
      </c>
      <c r="C21" s="4">
        <v>100</v>
      </c>
      <c r="D21" s="4">
        <v>100</v>
      </c>
      <c r="E21" s="4">
        <v>100</v>
      </c>
      <c r="F21" s="4">
        <v>100</v>
      </c>
      <c r="G21" s="4">
        <v>100</v>
      </c>
      <c r="H21" s="4">
        <v>100</v>
      </c>
      <c r="I21" s="4">
        <v>100</v>
      </c>
      <c r="J21" s="4">
        <v>100</v>
      </c>
      <c r="K21" s="4">
        <v>100</v>
      </c>
      <c r="L21" s="4">
        <v>100</v>
      </c>
      <c r="M21" s="4">
        <v>100</v>
      </c>
      <c r="N21" s="4">
        <v>100</v>
      </c>
      <c r="O21" s="4">
        <v>100</v>
      </c>
      <c r="P21" s="4">
        <v>20</v>
      </c>
      <c r="Q21" s="4">
        <v>73</v>
      </c>
      <c r="R21" s="4">
        <v>38</v>
      </c>
      <c r="S21" s="4">
        <v>10</v>
      </c>
      <c r="T21" s="5">
        <f t="shared" si="0"/>
        <v>82.6</v>
      </c>
      <c r="U21" s="4">
        <v>62</v>
      </c>
      <c r="V21" s="5">
        <f t="shared" si="1"/>
        <v>74.36</v>
      </c>
    </row>
    <row r="22" spans="1:22" ht="16.2">
      <c r="A22" s="1">
        <v>23</v>
      </c>
      <c r="B22" s="4">
        <v>100</v>
      </c>
      <c r="C22" s="4">
        <v>100</v>
      </c>
      <c r="D22" s="4">
        <v>100</v>
      </c>
      <c r="E22" s="4">
        <v>100</v>
      </c>
      <c r="F22" s="4">
        <v>100</v>
      </c>
      <c r="G22" s="4">
        <v>100</v>
      </c>
      <c r="H22" s="4">
        <v>100</v>
      </c>
      <c r="I22" s="4">
        <v>100</v>
      </c>
      <c r="J22" s="4">
        <v>100</v>
      </c>
      <c r="K22" s="4">
        <v>100</v>
      </c>
      <c r="L22" s="4">
        <v>100</v>
      </c>
      <c r="M22" s="4">
        <v>100</v>
      </c>
      <c r="N22" s="4">
        <v>100</v>
      </c>
      <c r="O22" s="4">
        <v>100</v>
      </c>
      <c r="P22" s="4">
        <v>73</v>
      </c>
      <c r="Q22" s="4">
        <v>89</v>
      </c>
      <c r="R22" s="4">
        <v>73</v>
      </c>
      <c r="S22" s="4">
        <v>6</v>
      </c>
      <c r="T22" s="5">
        <f t="shared" si="0"/>
        <v>92.5</v>
      </c>
      <c r="U22" s="4">
        <v>81</v>
      </c>
      <c r="V22" s="5">
        <f t="shared" si="1"/>
        <v>87.9</v>
      </c>
    </row>
    <row r="23" spans="1:22" ht="16.2">
      <c r="A23" s="1">
        <v>24</v>
      </c>
      <c r="B23" s="4">
        <v>100</v>
      </c>
      <c r="C23" s="4">
        <v>100</v>
      </c>
      <c r="D23" s="4">
        <v>100</v>
      </c>
      <c r="E23" s="4">
        <v>100</v>
      </c>
      <c r="F23" s="4">
        <v>100</v>
      </c>
      <c r="G23" s="4">
        <v>100</v>
      </c>
      <c r="H23" s="4">
        <v>100</v>
      </c>
      <c r="I23" s="4">
        <v>100</v>
      </c>
      <c r="J23" s="4">
        <v>100</v>
      </c>
      <c r="K23" s="4">
        <v>100</v>
      </c>
      <c r="L23" s="4">
        <v>100</v>
      </c>
      <c r="M23" s="4">
        <v>100</v>
      </c>
      <c r="N23" s="4">
        <v>100</v>
      </c>
      <c r="O23" s="4">
        <v>100</v>
      </c>
      <c r="P23" s="4">
        <v>99</v>
      </c>
      <c r="Q23" s="4">
        <v>83</v>
      </c>
      <c r="R23" s="4">
        <v>93</v>
      </c>
      <c r="S23" s="4">
        <v>7</v>
      </c>
      <c r="T23" s="5">
        <f t="shared" si="0"/>
        <v>96.625</v>
      </c>
      <c r="U23" s="4">
        <v>91</v>
      </c>
      <c r="V23" s="5">
        <f t="shared" si="1"/>
        <v>94.375</v>
      </c>
    </row>
    <row r="24" spans="1:22" ht="16.2">
      <c r="A24" s="1">
        <v>25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  <c r="N24" s="4">
        <v>100</v>
      </c>
      <c r="O24" s="4">
        <v>100</v>
      </c>
      <c r="P24" s="4">
        <v>96</v>
      </c>
      <c r="Q24" s="4">
        <v>99</v>
      </c>
      <c r="R24" s="4">
        <v>100</v>
      </c>
      <c r="S24" s="4">
        <v>10</v>
      </c>
      <c r="T24" s="5">
        <f t="shared" si="0"/>
        <v>99</v>
      </c>
      <c r="U24" s="4">
        <v>98</v>
      </c>
      <c r="V24" s="5">
        <f t="shared" si="1"/>
        <v>98.6</v>
      </c>
    </row>
    <row r="25" spans="1:22" ht="16.2">
      <c r="A25" s="1">
        <v>26</v>
      </c>
      <c r="B25" s="4">
        <v>100</v>
      </c>
      <c r="C25" s="4">
        <v>100</v>
      </c>
      <c r="D25" s="4">
        <v>100</v>
      </c>
      <c r="E25" s="4">
        <v>100</v>
      </c>
      <c r="F25" s="4">
        <v>100</v>
      </c>
      <c r="G25" s="4">
        <v>100</v>
      </c>
      <c r="H25" s="4">
        <v>100</v>
      </c>
      <c r="I25" s="4">
        <v>100</v>
      </c>
      <c r="J25" s="4">
        <v>100</v>
      </c>
      <c r="K25" s="4">
        <v>100</v>
      </c>
      <c r="L25" s="4">
        <v>100</v>
      </c>
      <c r="M25" s="4">
        <v>100</v>
      </c>
      <c r="N25" s="4">
        <v>100</v>
      </c>
      <c r="O25" s="4">
        <v>100</v>
      </c>
      <c r="P25" s="4">
        <v>81</v>
      </c>
      <c r="Q25" s="4">
        <v>88</v>
      </c>
      <c r="R25" s="4">
        <v>91</v>
      </c>
      <c r="S25" s="4">
        <v>9</v>
      </c>
      <c r="T25" s="5">
        <f t="shared" si="0"/>
        <v>95.375</v>
      </c>
      <c r="U25" s="4">
        <v>96</v>
      </c>
      <c r="V25" s="5">
        <f t="shared" si="1"/>
        <v>95.625</v>
      </c>
    </row>
    <row r="26" spans="1:22" ht="16.2">
      <c r="A26" s="1">
        <v>27</v>
      </c>
      <c r="B26" s="4">
        <v>100</v>
      </c>
      <c r="C26" s="4">
        <v>100</v>
      </c>
      <c r="D26" s="4">
        <v>100</v>
      </c>
      <c r="E26" s="4">
        <v>100</v>
      </c>
      <c r="F26" s="4">
        <v>100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98</v>
      </c>
      <c r="Q26" s="4">
        <v>96</v>
      </c>
      <c r="R26" s="4">
        <v>98</v>
      </c>
      <c r="S26" s="4">
        <v>8</v>
      </c>
      <c r="T26" s="5">
        <f t="shared" si="0"/>
        <v>98.449999999999989</v>
      </c>
      <c r="U26" s="4">
        <v>95</v>
      </c>
      <c r="V26" s="5">
        <f t="shared" si="1"/>
        <v>97.07</v>
      </c>
    </row>
    <row r="27" spans="1:22" ht="16.2">
      <c r="A27" s="1">
        <v>28</v>
      </c>
      <c r="B27" s="4">
        <v>100</v>
      </c>
      <c r="C27" s="4">
        <v>100</v>
      </c>
      <c r="D27" s="4">
        <v>100</v>
      </c>
      <c r="E27" s="4">
        <v>100</v>
      </c>
      <c r="F27" s="4">
        <v>100</v>
      </c>
      <c r="G27" s="4">
        <v>100</v>
      </c>
      <c r="H27" s="4">
        <v>100</v>
      </c>
      <c r="I27" s="4">
        <v>100</v>
      </c>
      <c r="J27" s="4">
        <v>100</v>
      </c>
      <c r="K27" s="4">
        <v>100</v>
      </c>
      <c r="L27" s="4">
        <v>100</v>
      </c>
      <c r="M27" s="4">
        <v>100</v>
      </c>
      <c r="N27" s="4">
        <v>100</v>
      </c>
      <c r="O27" s="4">
        <v>100</v>
      </c>
      <c r="P27" s="4">
        <v>96</v>
      </c>
      <c r="Q27" s="4">
        <v>93</v>
      </c>
      <c r="R27" s="4">
        <v>90</v>
      </c>
      <c r="S27" s="4">
        <v>7</v>
      </c>
      <c r="T27" s="5">
        <f t="shared" si="0"/>
        <v>97.025000000000006</v>
      </c>
      <c r="U27" s="4">
        <v>96</v>
      </c>
      <c r="V27" s="5">
        <f t="shared" si="1"/>
        <v>96.615000000000009</v>
      </c>
    </row>
    <row r="28" spans="1:22" ht="16.2">
      <c r="A28" s="1">
        <v>29</v>
      </c>
      <c r="B28" s="4">
        <v>100</v>
      </c>
      <c r="C28" s="4">
        <v>100</v>
      </c>
      <c r="D28" s="4">
        <v>100</v>
      </c>
      <c r="E28" s="4">
        <v>100</v>
      </c>
      <c r="F28" s="4">
        <v>100</v>
      </c>
      <c r="G28" s="4">
        <v>100</v>
      </c>
      <c r="H28" s="4">
        <v>100</v>
      </c>
      <c r="I28" s="4">
        <v>100</v>
      </c>
      <c r="J28" s="4">
        <v>100</v>
      </c>
      <c r="K28" s="4">
        <v>100</v>
      </c>
      <c r="L28" s="4">
        <v>100</v>
      </c>
      <c r="M28" s="4">
        <v>100</v>
      </c>
      <c r="N28" s="4">
        <v>100</v>
      </c>
      <c r="O28" s="4">
        <v>100</v>
      </c>
      <c r="P28" s="4">
        <v>66</v>
      </c>
      <c r="Q28" s="4">
        <v>68</v>
      </c>
      <c r="R28" s="4">
        <v>62</v>
      </c>
      <c r="S28" s="4">
        <v>8</v>
      </c>
      <c r="T28" s="5">
        <f t="shared" si="0"/>
        <v>88.85</v>
      </c>
      <c r="U28" s="4">
        <v>51</v>
      </c>
      <c r="V28" s="5">
        <f t="shared" si="1"/>
        <v>73.709999999999994</v>
      </c>
    </row>
    <row r="29" spans="1:22" ht="16.2">
      <c r="A29" s="1">
        <v>30</v>
      </c>
      <c r="B29" s="4">
        <v>100</v>
      </c>
      <c r="C29" s="4">
        <v>100</v>
      </c>
      <c r="D29" s="4">
        <v>100</v>
      </c>
      <c r="E29" s="4">
        <v>100</v>
      </c>
      <c r="F29" s="4">
        <v>100</v>
      </c>
      <c r="G29" s="4">
        <v>100</v>
      </c>
      <c r="H29" s="4">
        <v>100</v>
      </c>
      <c r="I29" s="4">
        <v>100</v>
      </c>
      <c r="J29" s="4">
        <v>100</v>
      </c>
      <c r="K29" s="4">
        <v>100</v>
      </c>
      <c r="L29" s="4">
        <v>100</v>
      </c>
      <c r="M29" s="4">
        <v>100</v>
      </c>
      <c r="N29" s="4">
        <v>100</v>
      </c>
      <c r="O29" s="4">
        <v>100</v>
      </c>
      <c r="P29" s="4">
        <v>95</v>
      </c>
      <c r="Q29" s="4">
        <v>90</v>
      </c>
      <c r="R29" s="4">
        <v>90</v>
      </c>
      <c r="S29" s="4">
        <v>8</v>
      </c>
      <c r="T29" s="5">
        <f t="shared" si="0"/>
        <v>96.75</v>
      </c>
      <c r="U29" s="4">
        <v>98</v>
      </c>
      <c r="V29" s="5">
        <f t="shared" si="1"/>
        <v>97.25</v>
      </c>
    </row>
    <row r="30" spans="1:22">
      <c r="U30">
        <f>AVERAGE(U2:U29)</f>
        <v>90.5</v>
      </c>
    </row>
  </sheetData>
  <phoneticPr fontId="3" type="noConversion"/>
  <conditionalFormatting sqref="B2:O29">
    <cfRule type="cellIs" dxfId="0" priority="1" operator="less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國語</vt:lpstr>
      <vt:lpstr>工作表1</vt:lpstr>
      <vt:lpstr>數學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B10202</dc:creator>
  <cp:lastModifiedBy>USER</cp:lastModifiedBy>
  <dcterms:created xsi:type="dcterms:W3CDTF">2025-08-21T05:30:55Z</dcterms:created>
  <dcterms:modified xsi:type="dcterms:W3CDTF">2026-05-28T07:49:03Z</dcterms:modified>
</cp:coreProperties>
</file>